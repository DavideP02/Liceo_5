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/Users/davidepeccioli/Google Drive/Scuola/Liceo/Classe 5°/Matematica/Compiti/2021 03 10 - Bisezione &amp; Newton/"/>
    </mc:Choice>
  </mc:AlternateContent>
  <xr:revisionPtr revIDLastSave="0" documentId="13_ncr:1_{0132CED5-1ECF-FF4A-BD00-EF3944F92A30}" xr6:coauthVersionLast="36" xr6:coauthVersionMax="36" xr10:uidLastSave="{00000000-0000-0000-0000-000000000000}"/>
  <bookViews>
    <workbookView xWindow="-51200" yWindow="-6880" windowWidth="51200" windowHeight="28800" xr2:uid="{30C115CD-33D8-9F45-B4CA-BEED48FD54C1}"/>
  </bookViews>
  <sheets>
    <sheet name="Foglio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1" l="1"/>
  <c r="E10" i="1" s="1"/>
  <c r="F10" i="1" s="1"/>
  <c r="B10" i="1"/>
  <c r="C10" i="1"/>
  <c r="D10" i="1" s="1"/>
  <c r="G10" i="1"/>
  <c r="A11" i="1"/>
  <c r="B11" i="1"/>
  <c r="C11" i="1"/>
  <c r="D11" i="1" s="1"/>
  <c r="D9" i="1"/>
  <c r="B9" i="1"/>
  <c r="X19" i="1"/>
  <c r="X18" i="1"/>
  <c r="X17" i="1"/>
  <c r="X16" i="1"/>
  <c r="X15" i="1"/>
  <c r="X12" i="1"/>
  <c r="X11" i="1"/>
  <c r="X10" i="1"/>
  <c r="X9" i="1"/>
  <c r="X8" i="1"/>
  <c r="O500" i="1"/>
  <c r="O10" i="1"/>
  <c r="O9" i="1"/>
  <c r="F9" i="1"/>
  <c r="F8" i="1"/>
  <c r="D8" i="1"/>
  <c r="B8" i="1"/>
  <c r="C3" i="1"/>
  <c r="W10" i="1"/>
  <c r="W11" i="1" s="1"/>
  <c r="W17" i="1"/>
  <c r="W18" i="1" s="1"/>
  <c r="W9" i="1"/>
  <c r="W8" i="1" s="1"/>
  <c r="S9" i="1"/>
  <c r="N500" i="1"/>
  <c r="N10" i="1"/>
  <c r="G11" i="1" l="1"/>
  <c r="E11" i="1"/>
  <c r="F11" i="1" s="1"/>
  <c r="A12" i="1" s="1"/>
  <c r="Y18" i="1"/>
  <c r="W16" i="1"/>
  <c r="W12" i="1"/>
  <c r="W19" i="1"/>
  <c r="Y11" i="1"/>
  <c r="Y10" i="1"/>
  <c r="Y9" i="1"/>
  <c r="C12" i="1" l="1"/>
  <c r="D12" i="1" s="1"/>
  <c r="E12" i="1"/>
  <c r="F12" i="1" s="1"/>
  <c r="G12" i="1"/>
  <c r="B12" i="1"/>
  <c r="W15" i="1"/>
  <c r="Y16" i="1" s="1"/>
  <c r="Z17" i="1" s="1"/>
  <c r="Y17" i="1"/>
  <c r="Z10" i="1"/>
  <c r="N8" i="1" s="1"/>
  <c r="O8" i="1" s="1"/>
  <c r="C8" i="1"/>
  <c r="A8" i="1"/>
  <c r="A13" i="1" l="1"/>
  <c r="C13" i="1"/>
  <c r="D13" i="1" s="1"/>
  <c r="P9" i="1"/>
  <c r="Q9" i="1" s="1"/>
  <c r="N12" i="1" s="1"/>
  <c r="O12" i="1" s="1"/>
  <c r="E8" i="1"/>
  <c r="G8" i="1"/>
  <c r="E13" i="1" l="1"/>
  <c r="F13" i="1" s="1"/>
  <c r="G13" i="1"/>
  <c r="B13" i="1"/>
  <c r="S12" i="1"/>
  <c r="N11" i="1"/>
  <c r="O11" i="1" s="1"/>
  <c r="N13" i="1"/>
  <c r="O13" i="1" s="1"/>
  <c r="I8" i="1"/>
  <c r="H8" i="1"/>
  <c r="A14" i="1" l="1"/>
  <c r="C14" i="1"/>
  <c r="D14" i="1" s="1"/>
  <c r="P12" i="1"/>
  <c r="Q12" i="1" s="1"/>
  <c r="N15" i="1" s="1"/>
  <c r="O15" i="1" s="1"/>
  <c r="A9" i="1"/>
  <c r="C9" i="1"/>
  <c r="E14" i="1" l="1"/>
  <c r="F14" i="1" s="1"/>
  <c r="G14" i="1"/>
  <c r="B14" i="1"/>
  <c r="N16" i="1"/>
  <c r="O16" i="1" s="1"/>
  <c r="N14" i="1"/>
  <c r="O14" i="1" s="1"/>
  <c r="S15" i="1"/>
  <c r="E9" i="1"/>
  <c r="G9" i="1"/>
  <c r="A15" i="1" l="1"/>
  <c r="C15" i="1"/>
  <c r="D15" i="1" s="1"/>
  <c r="P15" i="1"/>
  <c r="Q15" i="1" s="1"/>
  <c r="N18" i="1" s="1"/>
  <c r="O18" i="1" s="1"/>
  <c r="I9" i="1"/>
  <c r="H9" i="1"/>
  <c r="B15" i="1" l="1"/>
  <c r="E15" i="1"/>
  <c r="F15" i="1" s="1"/>
  <c r="G15" i="1"/>
  <c r="S18" i="1"/>
  <c r="N17" i="1"/>
  <c r="O17" i="1" s="1"/>
  <c r="N19" i="1"/>
  <c r="O19" i="1" s="1"/>
  <c r="A16" i="1" l="1"/>
  <c r="C16" i="1"/>
  <c r="D16" i="1" s="1"/>
  <c r="H10" i="1"/>
  <c r="I10" i="1"/>
  <c r="P18" i="1"/>
  <c r="Q18" i="1" s="1"/>
  <c r="N21" i="1" s="1"/>
  <c r="O21" i="1" s="1"/>
  <c r="G16" i="1" l="1"/>
  <c r="B16" i="1"/>
  <c r="E16" i="1"/>
  <c r="F16" i="1" s="1"/>
  <c r="S21" i="1"/>
  <c r="N20" i="1"/>
  <c r="O20" i="1" s="1"/>
  <c r="N22" i="1"/>
  <c r="O22" i="1" s="1"/>
  <c r="A17" i="1" l="1"/>
  <c r="C17" i="1"/>
  <c r="D17" i="1" s="1"/>
  <c r="H11" i="1"/>
  <c r="P21" i="1"/>
  <c r="Q21" i="1" s="1"/>
  <c r="N24" i="1" s="1"/>
  <c r="O24" i="1" s="1"/>
  <c r="I11" i="1"/>
  <c r="B17" i="1" l="1"/>
  <c r="E17" i="1"/>
  <c r="F17" i="1" s="1"/>
  <c r="G17" i="1"/>
  <c r="H12" i="1"/>
  <c r="S24" i="1"/>
  <c r="N23" i="1"/>
  <c r="O23" i="1" s="1"/>
  <c r="N25" i="1"/>
  <c r="O25" i="1" s="1"/>
  <c r="A18" i="1" l="1"/>
  <c r="C18" i="1"/>
  <c r="D18" i="1" s="1"/>
  <c r="P24" i="1"/>
  <c r="Q24" i="1" s="1"/>
  <c r="N27" i="1" s="1"/>
  <c r="O27" i="1" s="1"/>
  <c r="B18" i="1" l="1"/>
  <c r="G18" i="1"/>
  <c r="E18" i="1"/>
  <c r="F18" i="1" s="1"/>
  <c r="S27" i="1"/>
  <c r="N26" i="1"/>
  <c r="O26" i="1" s="1"/>
  <c r="N28" i="1"/>
  <c r="O28" i="1" s="1"/>
  <c r="I12" i="1"/>
  <c r="C19" i="1" l="1"/>
  <c r="D19" i="1" s="1"/>
  <c r="A19" i="1"/>
  <c r="P27" i="1"/>
  <c r="Q27" i="1" s="1"/>
  <c r="N30" i="1" s="1"/>
  <c r="O30" i="1" s="1"/>
  <c r="H13" i="1"/>
  <c r="B19" i="1" l="1"/>
  <c r="E19" i="1"/>
  <c r="F19" i="1" s="1"/>
  <c r="G19" i="1"/>
  <c r="S30" i="1"/>
  <c r="N29" i="1"/>
  <c r="O29" i="1" s="1"/>
  <c r="N31" i="1"/>
  <c r="O31" i="1" s="1"/>
  <c r="A20" i="1" l="1"/>
  <c r="C20" i="1"/>
  <c r="D20" i="1" s="1"/>
  <c r="I2" i="1"/>
  <c r="P30" i="1"/>
  <c r="Q30" i="1" s="1"/>
  <c r="N33" i="1" s="1"/>
  <c r="O33" i="1" s="1"/>
  <c r="I13" i="1"/>
  <c r="G20" i="1" l="1"/>
  <c r="B20" i="1"/>
  <c r="E20" i="1"/>
  <c r="F20" i="1" s="1"/>
  <c r="S33" i="1"/>
  <c r="N34" i="1"/>
  <c r="O34" i="1" s="1"/>
  <c r="N32" i="1"/>
  <c r="O32" i="1" s="1"/>
  <c r="A21" i="1" l="1"/>
  <c r="C21" i="1"/>
  <c r="D21" i="1" s="1"/>
  <c r="P33" i="1"/>
  <c r="Q33" i="1" s="1"/>
  <c r="N36" i="1" s="1"/>
  <c r="O36" i="1" s="1"/>
  <c r="E21" i="1" l="1"/>
  <c r="F21" i="1" s="1"/>
  <c r="G21" i="1"/>
  <c r="B21" i="1"/>
  <c r="N37" i="1"/>
  <c r="O37" i="1" s="1"/>
  <c r="S36" i="1"/>
  <c r="N35" i="1"/>
  <c r="O35" i="1" s="1"/>
  <c r="I14" i="1"/>
  <c r="H14" i="1"/>
  <c r="A22" i="1" l="1"/>
  <c r="C22" i="1"/>
  <c r="D22" i="1" s="1"/>
  <c r="P36" i="1"/>
  <c r="Q36" i="1" s="1"/>
  <c r="N39" i="1" s="1"/>
  <c r="O39" i="1" s="1"/>
  <c r="B22" i="1" l="1"/>
  <c r="E22" i="1"/>
  <c r="F22" i="1" s="1"/>
  <c r="G22" i="1"/>
  <c r="S39" i="1"/>
  <c r="N40" i="1"/>
  <c r="O40" i="1" s="1"/>
  <c r="N38" i="1"/>
  <c r="O38" i="1" s="1"/>
  <c r="C23" i="1" l="1"/>
  <c r="D23" i="1" s="1"/>
  <c r="A23" i="1"/>
  <c r="P39" i="1"/>
  <c r="Q39" i="1" s="1"/>
  <c r="N42" i="1" s="1"/>
  <c r="O42" i="1" s="1"/>
  <c r="I15" i="1"/>
  <c r="H15" i="1"/>
  <c r="G23" i="1" l="1"/>
  <c r="B23" i="1"/>
  <c r="E23" i="1"/>
  <c r="F23" i="1" s="1"/>
  <c r="S42" i="1"/>
  <c r="N41" i="1"/>
  <c r="O41" i="1" s="1"/>
  <c r="N43" i="1"/>
  <c r="O43" i="1" s="1"/>
  <c r="A24" i="1" l="1"/>
  <c r="C24" i="1"/>
  <c r="D24" i="1" s="1"/>
  <c r="P42" i="1"/>
  <c r="Q42" i="1" s="1"/>
  <c r="N45" i="1" s="1"/>
  <c r="O45" i="1" s="1"/>
  <c r="B24" i="1" l="1"/>
  <c r="G24" i="1"/>
  <c r="E24" i="1"/>
  <c r="F24" i="1" s="1"/>
  <c r="S45" i="1"/>
  <c r="N46" i="1"/>
  <c r="O46" i="1" s="1"/>
  <c r="N44" i="1"/>
  <c r="O44" i="1" s="1"/>
  <c r="H16" i="1"/>
  <c r="I16" i="1"/>
  <c r="A25" i="1" l="1"/>
  <c r="C25" i="1"/>
  <c r="D25" i="1" s="1"/>
  <c r="P45" i="1"/>
  <c r="Q45" i="1" s="1"/>
  <c r="N48" i="1" s="1"/>
  <c r="O48" i="1" s="1"/>
  <c r="B25" i="1" l="1"/>
  <c r="E25" i="1"/>
  <c r="F25" i="1" s="1"/>
  <c r="G25" i="1"/>
  <c r="N47" i="1"/>
  <c r="O47" i="1" s="1"/>
  <c r="N49" i="1"/>
  <c r="O49" i="1" s="1"/>
  <c r="S48" i="1"/>
  <c r="H17" i="1"/>
  <c r="I17" i="1"/>
  <c r="A26" i="1" l="1"/>
  <c r="C26" i="1"/>
  <c r="D26" i="1" s="1"/>
  <c r="P48" i="1"/>
  <c r="Q48" i="1" s="1"/>
  <c r="N51" i="1" s="1"/>
  <c r="O51" i="1" s="1"/>
  <c r="B26" i="1" l="1"/>
  <c r="E26" i="1"/>
  <c r="F26" i="1" s="1"/>
  <c r="G26" i="1"/>
  <c r="N52" i="1"/>
  <c r="O52" i="1" s="1"/>
  <c r="N50" i="1"/>
  <c r="O50" i="1" s="1"/>
  <c r="P51" i="1" s="1"/>
  <c r="S51" i="1"/>
  <c r="A27" i="1" l="1"/>
  <c r="C27" i="1"/>
  <c r="D27" i="1" s="1"/>
  <c r="Q51" i="1"/>
  <c r="N54" i="1" s="1"/>
  <c r="O54" i="1" s="1"/>
  <c r="H18" i="1"/>
  <c r="I18" i="1"/>
  <c r="G27" i="1" l="1"/>
  <c r="B27" i="1"/>
  <c r="E27" i="1"/>
  <c r="F27" i="1" s="1"/>
  <c r="S54" i="1"/>
  <c r="N53" i="1"/>
  <c r="O53" i="1" s="1"/>
  <c r="N55" i="1"/>
  <c r="O55" i="1" s="1"/>
  <c r="C28" i="1" l="1"/>
  <c r="D28" i="1" s="1"/>
  <c r="A28" i="1"/>
  <c r="P54" i="1"/>
  <c r="Q54" i="1" s="1"/>
  <c r="N57" i="1" s="1"/>
  <c r="O57" i="1" s="1"/>
  <c r="H19" i="1"/>
  <c r="I19" i="1"/>
  <c r="E28" i="1" l="1"/>
  <c r="F28" i="1" s="1"/>
  <c r="G28" i="1"/>
  <c r="B28" i="1"/>
  <c r="S57" i="1"/>
  <c r="N56" i="1"/>
  <c r="O56" i="1" s="1"/>
  <c r="N58" i="1"/>
  <c r="O58" i="1" s="1"/>
  <c r="A29" i="1" l="1"/>
  <c r="C29" i="1"/>
  <c r="D29" i="1" s="1"/>
  <c r="P57" i="1"/>
  <c r="Q57" i="1" s="1"/>
  <c r="N60" i="1" s="1"/>
  <c r="O60" i="1" s="1"/>
  <c r="H20" i="1"/>
  <c r="I20" i="1"/>
  <c r="B29" i="1" l="1"/>
  <c r="E29" i="1"/>
  <c r="F29" i="1" s="1"/>
  <c r="G29" i="1"/>
  <c r="S60" i="1"/>
  <c r="N61" i="1"/>
  <c r="O61" i="1" s="1"/>
  <c r="N59" i="1"/>
  <c r="O59" i="1" s="1"/>
  <c r="A30" i="1" l="1"/>
  <c r="C30" i="1"/>
  <c r="D30" i="1" s="1"/>
  <c r="P60" i="1"/>
  <c r="E30" i="1" l="1"/>
  <c r="F30" i="1" s="1"/>
  <c r="G30" i="1"/>
  <c r="B30" i="1"/>
  <c r="Q60" i="1"/>
  <c r="N63" i="1" s="1"/>
  <c r="O63" i="1" s="1"/>
  <c r="H21" i="1"/>
  <c r="I21" i="1"/>
  <c r="A31" i="1" l="1"/>
  <c r="C31" i="1"/>
  <c r="D31" i="1" s="1"/>
  <c r="S63" i="1"/>
  <c r="N64" i="1"/>
  <c r="O64" i="1" s="1"/>
  <c r="N62" i="1"/>
  <c r="O62" i="1" s="1"/>
  <c r="B31" i="1" l="1"/>
  <c r="G31" i="1"/>
  <c r="E31" i="1"/>
  <c r="F31" i="1" s="1"/>
  <c r="P63" i="1"/>
  <c r="Q63" i="1" s="1"/>
  <c r="N66" i="1" s="1"/>
  <c r="O66" i="1" s="1"/>
  <c r="H22" i="1"/>
  <c r="I22" i="1"/>
  <c r="A32" i="1" l="1"/>
  <c r="C32" i="1"/>
  <c r="D32" i="1" s="1"/>
  <c r="S66" i="1"/>
  <c r="N67" i="1"/>
  <c r="O67" i="1" s="1"/>
  <c r="N65" i="1"/>
  <c r="O65" i="1" s="1"/>
  <c r="G32" i="1" l="1"/>
  <c r="B32" i="1"/>
  <c r="E32" i="1"/>
  <c r="F32" i="1" s="1"/>
  <c r="P66" i="1"/>
  <c r="Q66" i="1" s="1"/>
  <c r="N69" i="1" s="1"/>
  <c r="O69" i="1" s="1"/>
  <c r="A33" i="1" l="1"/>
  <c r="C33" i="1"/>
  <c r="D33" i="1" s="1"/>
  <c r="S69" i="1"/>
  <c r="N68" i="1"/>
  <c r="O68" i="1" s="1"/>
  <c r="N70" i="1"/>
  <c r="O70" i="1" s="1"/>
  <c r="I23" i="1"/>
  <c r="H23" i="1"/>
  <c r="B33" i="1" l="1"/>
  <c r="E33" i="1"/>
  <c r="F33" i="1" s="1"/>
  <c r="G33" i="1"/>
  <c r="P69" i="1"/>
  <c r="Q69" i="1" s="1"/>
  <c r="N72" i="1" s="1"/>
  <c r="O72" i="1" s="1"/>
  <c r="A34" i="1" l="1"/>
  <c r="C34" i="1"/>
  <c r="D34" i="1" s="1"/>
  <c r="S72" i="1"/>
  <c r="N73" i="1"/>
  <c r="O73" i="1" s="1"/>
  <c r="N71" i="1"/>
  <c r="O71" i="1" s="1"/>
  <c r="I24" i="1"/>
  <c r="H24" i="1"/>
  <c r="G34" i="1" l="1"/>
  <c r="B34" i="1"/>
  <c r="E34" i="1"/>
  <c r="F34" i="1" s="1"/>
  <c r="P72" i="1"/>
  <c r="Q72" i="1" s="1"/>
  <c r="N75" i="1" s="1"/>
  <c r="O75" i="1" s="1"/>
  <c r="C35" i="1" l="1"/>
  <c r="D35" i="1" s="1"/>
  <c r="A35" i="1"/>
  <c r="S75" i="1"/>
  <c r="N74" i="1"/>
  <c r="O74" i="1" s="1"/>
  <c r="N76" i="1"/>
  <c r="O76" i="1" s="1"/>
  <c r="B35" i="1" l="1"/>
  <c r="E35" i="1"/>
  <c r="F35" i="1" s="1"/>
  <c r="G35" i="1"/>
  <c r="P75" i="1"/>
  <c r="I25" i="1"/>
  <c r="H25" i="1"/>
  <c r="A36" i="1" l="1"/>
  <c r="C36" i="1"/>
  <c r="D36" i="1" s="1"/>
  <c r="Q75" i="1"/>
  <c r="N78" i="1" s="1"/>
  <c r="O78" i="1" s="1"/>
  <c r="B36" i="1" l="1"/>
  <c r="G36" i="1"/>
  <c r="E36" i="1"/>
  <c r="F36" i="1" s="1"/>
  <c r="S78" i="1"/>
  <c r="N79" i="1"/>
  <c r="O79" i="1" s="1"/>
  <c r="N77" i="1"/>
  <c r="O77" i="1" s="1"/>
  <c r="A37" i="1" l="1"/>
  <c r="C37" i="1"/>
  <c r="D37" i="1" s="1"/>
  <c r="P78" i="1"/>
  <c r="Q78" i="1" s="1"/>
  <c r="N81" i="1" s="1"/>
  <c r="O81" i="1" s="1"/>
  <c r="H26" i="1"/>
  <c r="I26" i="1"/>
  <c r="E37" i="1" l="1"/>
  <c r="F37" i="1" s="1"/>
  <c r="G37" i="1"/>
  <c r="B37" i="1"/>
  <c r="S81" i="1"/>
  <c r="N80" i="1"/>
  <c r="O80" i="1" s="1"/>
  <c r="N82" i="1"/>
  <c r="O82" i="1" s="1"/>
  <c r="A38" i="1" l="1"/>
  <c r="C38" i="1"/>
  <c r="D38" i="1" s="1"/>
  <c r="P81" i="1"/>
  <c r="Q81" i="1" s="1"/>
  <c r="N84" i="1" s="1"/>
  <c r="O84" i="1" s="1"/>
  <c r="I27" i="1"/>
  <c r="H27" i="1"/>
  <c r="B38" i="1" l="1"/>
  <c r="G38" i="1"/>
  <c r="E38" i="1"/>
  <c r="F38" i="1" s="1"/>
  <c r="S84" i="1"/>
  <c r="N85" i="1"/>
  <c r="O85" i="1" s="1"/>
  <c r="N83" i="1"/>
  <c r="O83" i="1" s="1"/>
  <c r="A39" i="1" l="1"/>
  <c r="C39" i="1"/>
  <c r="D39" i="1" s="1"/>
  <c r="P84" i="1"/>
  <c r="G39" i="1" l="1"/>
  <c r="B39" i="1"/>
  <c r="E39" i="1"/>
  <c r="F39" i="1" s="1"/>
  <c r="Q84" i="1"/>
  <c r="N87" i="1" s="1"/>
  <c r="O87" i="1" s="1"/>
  <c r="H28" i="1"/>
  <c r="I28" i="1"/>
  <c r="A40" i="1" l="1"/>
  <c r="C40" i="1"/>
  <c r="D40" i="1" s="1"/>
  <c r="S87" i="1"/>
  <c r="N88" i="1"/>
  <c r="O88" i="1" s="1"/>
  <c r="N86" i="1"/>
  <c r="O86" i="1" s="1"/>
  <c r="B40" i="1" l="1"/>
  <c r="E40" i="1"/>
  <c r="F40" i="1" s="1"/>
  <c r="G40" i="1"/>
  <c r="P87" i="1"/>
  <c r="Q87" i="1" s="1"/>
  <c r="N90" i="1" s="1"/>
  <c r="O90" i="1" s="1"/>
  <c r="H29" i="1"/>
  <c r="I29" i="1"/>
  <c r="A41" i="1" l="1"/>
  <c r="C41" i="1"/>
  <c r="D41" i="1" s="1"/>
  <c r="S90" i="1"/>
  <c r="N91" i="1"/>
  <c r="O91" i="1" s="1"/>
  <c r="N89" i="1"/>
  <c r="O89" i="1" s="1"/>
  <c r="B41" i="1" l="1"/>
  <c r="E41" i="1"/>
  <c r="F41" i="1" s="1"/>
  <c r="G41" i="1"/>
  <c r="P90" i="1"/>
  <c r="Q90" i="1" s="1"/>
  <c r="N93" i="1" s="1"/>
  <c r="O93" i="1" s="1"/>
  <c r="H30" i="1"/>
  <c r="I30" i="1"/>
  <c r="A42" i="1" l="1"/>
  <c r="C42" i="1"/>
  <c r="D42" i="1" s="1"/>
  <c r="S93" i="1"/>
  <c r="N92" i="1"/>
  <c r="O92" i="1" s="1"/>
  <c r="N94" i="1"/>
  <c r="O94" i="1" s="1"/>
  <c r="B42" i="1" l="1"/>
  <c r="E42" i="1"/>
  <c r="F42" i="1" s="1"/>
  <c r="G42" i="1"/>
  <c r="P93" i="1"/>
  <c r="H31" i="1"/>
  <c r="A43" i="1" l="1"/>
  <c r="C43" i="1"/>
  <c r="D43" i="1" s="1"/>
  <c r="Q93" i="1"/>
  <c r="N96" i="1" s="1"/>
  <c r="O96" i="1" s="1"/>
  <c r="I31" i="1"/>
  <c r="B43" i="1" l="1"/>
  <c r="E43" i="1"/>
  <c r="F43" i="1" s="1"/>
  <c r="G43" i="1"/>
  <c r="S96" i="1"/>
  <c r="N95" i="1"/>
  <c r="O95" i="1" s="1"/>
  <c r="N97" i="1"/>
  <c r="O97" i="1" s="1"/>
  <c r="C44" i="1" l="1"/>
  <c r="D44" i="1" s="1"/>
  <c r="A44" i="1"/>
  <c r="P96" i="1"/>
  <c r="Q96" i="1" s="1"/>
  <c r="N99" i="1" s="1"/>
  <c r="O99" i="1" s="1"/>
  <c r="I32" i="1"/>
  <c r="H32" i="1"/>
  <c r="E44" i="1" l="1"/>
  <c r="F44" i="1" s="1"/>
  <c r="G44" i="1"/>
  <c r="B44" i="1"/>
  <c r="S99" i="1"/>
  <c r="N100" i="1"/>
  <c r="O100" i="1" s="1"/>
  <c r="N98" i="1"/>
  <c r="O98" i="1" s="1"/>
  <c r="A45" i="1" l="1"/>
  <c r="C45" i="1"/>
  <c r="D45" i="1" s="1"/>
  <c r="P99" i="1"/>
  <c r="G45" i="1" l="1"/>
  <c r="B45" i="1"/>
  <c r="E45" i="1"/>
  <c r="F45" i="1" s="1"/>
  <c r="Q99" i="1"/>
  <c r="N102" i="1" s="1"/>
  <c r="O102" i="1" s="1"/>
  <c r="I33" i="1"/>
  <c r="H33" i="1"/>
  <c r="C46" i="1" l="1"/>
  <c r="D46" i="1" s="1"/>
  <c r="A46" i="1"/>
  <c r="S102" i="1"/>
  <c r="N103" i="1"/>
  <c r="O103" i="1" s="1"/>
  <c r="N101" i="1"/>
  <c r="O101" i="1" s="1"/>
  <c r="E46" i="1" l="1"/>
  <c r="F46" i="1" s="1"/>
  <c r="G46" i="1"/>
  <c r="B46" i="1"/>
  <c r="P102" i="1"/>
  <c r="I34" i="1"/>
  <c r="H34" i="1"/>
  <c r="A47" i="1" l="1"/>
  <c r="C47" i="1"/>
  <c r="D47" i="1" s="1"/>
  <c r="Q102" i="1"/>
  <c r="N105" i="1" s="1"/>
  <c r="O105" i="1" s="1"/>
  <c r="B47" i="1" l="1"/>
  <c r="E47" i="1"/>
  <c r="F47" i="1" s="1"/>
  <c r="G47" i="1"/>
  <c r="S105" i="1"/>
  <c r="N104" i="1"/>
  <c r="O104" i="1" s="1"/>
  <c r="N106" i="1"/>
  <c r="O106" i="1" s="1"/>
  <c r="A48" i="1" l="1"/>
  <c r="C48" i="1"/>
  <c r="D48" i="1" s="1"/>
  <c r="P105" i="1"/>
  <c r="I35" i="1"/>
  <c r="H35" i="1"/>
  <c r="G48" i="1" l="1"/>
  <c r="E48" i="1"/>
  <c r="F48" i="1" s="1"/>
  <c r="B48" i="1"/>
  <c r="Q105" i="1"/>
  <c r="N108" i="1" s="1"/>
  <c r="O108" i="1" s="1"/>
  <c r="A49" i="1" l="1"/>
  <c r="C49" i="1"/>
  <c r="D49" i="1" s="1"/>
  <c r="S108" i="1"/>
  <c r="N109" i="1"/>
  <c r="O109" i="1" s="1"/>
  <c r="N107" i="1"/>
  <c r="O107" i="1" s="1"/>
  <c r="I36" i="1"/>
  <c r="H36" i="1"/>
  <c r="B49" i="1" l="1"/>
  <c r="E49" i="1"/>
  <c r="F49" i="1" s="1"/>
  <c r="G49" i="1"/>
  <c r="P108" i="1"/>
  <c r="C50" i="1" l="1"/>
  <c r="D50" i="1" s="1"/>
  <c r="A50" i="1"/>
  <c r="Q108" i="1"/>
  <c r="N111" i="1" s="1"/>
  <c r="O111" i="1" s="1"/>
  <c r="H37" i="1"/>
  <c r="I37" i="1"/>
  <c r="B50" i="1" l="1"/>
  <c r="E50" i="1"/>
  <c r="F50" i="1" s="1"/>
  <c r="G50" i="1"/>
  <c r="S111" i="1"/>
  <c r="N112" i="1"/>
  <c r="O112" i="1" s="1"/>
  <c r="N110" i="1"/>
  <c r="O110" i="1" s="1"/>
  <c r="C51" i="1" l="1"/>
  <c r="D51" i="1" s="1"/>
  <c r="A51" i="1"/>
  <c r="P111" i="1"/>
  <c r="I38" i="1"/>
  <c r="H38" i="1"/>
  <c r="B51" i="1" l="1"/>
  <c r="E51" i="1"/>
  <c r="F51" i="1" s="1"/>
  <c r="G51" i="1"/>
  <c r="Q111" i="1"/>
  <c r="N114" i="1" s="1"/>
  <c r="O114" i="1" s="1"/>
  <c r="A52" i="1" l="1"/>
  <c r="C52" i="1"/>
  <c r="D52" i="1" s="1"/>
  <c r="S114" i="1"/>
  <c r="N115" i="1"/>
  <c r="O115" i="1" s="1"/>
  <c r="N113" i="1"/>
  <c r="O113" i="1" s="1"/>
  <c r="B52" i="1" l="1"/>
  <c r="E52" i="1"/>
  <c r="F52" i="1" s="1"/>
  <c r="G52" i="1"/>
  <c r="P114" i="1"/>
  <c r="Q114" i="1" s="1"/>
  <c r="N117" i="1" s="1"/>
  <c r="O117" i="1" s="1"/>
  <c r="H39" i="1"/>
  <c r="I39" i="1"/>
  <c r="C53" i="1" l="1"/>
  <c r="D53" i="1" s="1"/>
  <c r="A53" i="1"/>
  <c r="S117" i="1"/>
  <c r="N118" i="1"/>
  <c r="O118" i="1" s="1"/>
  <c r="N116" i="1"/>
  <c r="O116" i="1" s="1"/>
  <c r="E53" i="1" l="1"/>
  <c r="F53" i="1" s="1"/>
  <c r="G53" i="1"/>
  <c r="B53" i="1"/>
  <c r="P117" i="1"/>
  <c r="Q117" i="1" s="1"/>
  <c r="N120" i="1" s="1"/>
  <c r="O120" i="1" s="1"/>
  <c r="A54" i="1" l="1"/>
  <c r="C54" i="1"/>
  <c r="D54" i="1" s="1"/>
  <c r="S120" i="1"/>
  <c r="N119" i="1"/>
  <c r="O119" i="1" s="1"/>
  <c r="N121" i="1"/>
  <c r="O121" i="1" s="1"/>
  <c r="H40" i="1"/>
  <c r="I40" i="1"/>
  <c r="B54" i="1" l="1"/>
  <c r="E54" i="1"/>
  <c r="F54" i="1" s="1"/>
  <c r="G54" i="1"/>
  <c r="P120" i="1"/>
  <c r="Q120" i="1" s="1"/>
  <c r="N123" i="1" s="1"/>
  <c r="O123" i="1" s="1"/>
  <c r="C55" i="1" l="1"/>
  <c r="D55" i="1" s="1"/>
  <c r="A55" i="1"/>
  <c r="S123" i="1"/>
  <c r="N124" i="1"/>
  <c r="O124" i="1" s="1"/>
  <c r="N122" i="1"/>
  <c r="O122" i="1" s="1"/>
  <c r="G55" i="1" l="1"/>
  <c r="E55" i="1"/>
  <c r="F55" i="1" s="1"/>
  <c r="B55" i="1"/>
  <c r="P123" i="1"/>
  <c r="Q123" i="1" s="1"/>
  <c r="N126" i="1" s="1"/>
  <c r="O126" i="1" s="1"/>
  <c r="I41" i="1"/>
  <c r="H41" i="1"/>
  <c r="A56" i="1" l="1"/>
  <c r="C56" i="1"/>
  <c r="D56" i="1" s="1"/>
  <c r="S126" i="1"/>
  <c r="N125" i="1"/>
  <c r="O125" i="1" s="1"/>
  <c r="N127" i="1"/>
  <c r="O127" i="1" s="1"/>
  <c r="B56" i="1" l="1"/>
  <c r="G56" i="1"/>
  <c r="E56" i="1"/>
  <c r="F56" i="1" s="1"/>
  <c r="P126" i="1"/>
  <c r="Q126" i="1" s="1"/>
  <c r="N129" i="1" s="1"/>
  <c r="O129" i="1" s="1"/>
  <c r="I42" i="1"/>
  <c r="H42" i="1"/>
  <c r="C57" i="1" l="1"/>
  <c r="D57" i="1" s="1"/>
  <c r="A57" i="1"/>
  <c r="S129" i="1"/>
  <c r="N128" i="1"/>
  <c r="O128" i="1" s="1"/>
  <c r="N130" i="1"/>
  <c r="O130" i="1" s="1"/>
  <c r="E57" i="1" l="1"/>
  <c r="F57" i="1" s="1"/>
  <c r="G57" i="1"/>
  <c r="B57" i="1"/>
  <c r="P129" i="1"/>
  <c r="A58" i="1" l="1"/>
  <c r="C58" i="1"/>
  <c r="D58" i="1" s="1"/>
  <c r="Q129" i="1"/>
  <c r="N132" i="1" s="1"/>
  <c r="O132" i="1" s="1"/>
  <c r="I43" i="1"/>
  <c r="H43" i="1"/>
  <c r="B58" i="1" l="1"/>
  <c r="E58" i="1"/>
  <c r="F58" i="1" s="1"/>
  <c r="G58" i="1"/>
  <c r="S132" i="1"/>
  <c r="N133" i="1"/>
  <c r="O133" i="1" s="1"/>
  <c r="N131" i="1"/>
  <c r="O131" i="1" s="1"/>
  <c r="A59" i="1" l="1"/>
  <c r="C59" i="1"/>
  <c r="D59" i="1" s="1"/>
  <c r="P132" i="1"/>
  <c r="Q132" i="1" s="1"/>
  <c r="N135" i="1" s="1"/>
  <c r="O135" i="1" s="1"/>
  <c r="H44" i="1"/>
  <c r="I44" i="1"/>
  <c r="B59" i="1" l="1"/>
  <c r="E59" i="1"/>
  <c r="F59" i="1" s="1"/>
  <c r="G59" i="1"/>
  <c r="S135" i="1"/>
  <c r="N136" i="1"/>
  <c r="O136" i="1" s="1"/>
  <c r="N134" i="1"/>
  <c r="O134" i="1" s="1"/>
  <c r="C60" i="1" l="1"/>
  <c r="D60" i="1" s="1"/>
  <c r="A60" i="1"/>
  <c r="P135" i="1"/>
  <c r="Q135" i="1" s="1"/>
  <c r="N138" i="1" s="1"/>
  <c r="O138" i="1" s="1"/>
  <c r="H45" i="1"/>
  <c r="I45" i="1"/>
  <c r="E60" i="1" l="1"/>
  <c r="F60" i="1" s="1"/>
  <c r="G60" i="1"/>
  <c r="B60" i="1"/>
  <c r="S138" i="1"/>
  <c r="N139" i="1"/>
  <c r="O139" i="1" s="1"/>
  <c r="N137" i="1"/>
  <c r="O137" i="1" s="1"/>
  <c r="A61" i="1" l="1"/>
  <c r="C61" i="1"/>
  <c r="D61" i="1" s="1"/>
  <c r="P138" i="1"/>
  <c r="Q138" i="1" s="1"/>
  <c r="N141" i="1" s="1"/>
  <c r="O141" i="1" s="1"/>
  <c r="H46" i="1"/>
  <c r="I46" i="1"/>
  <c r="E61" i="1" l="1"/>
  <c r="F61" i="1" s="1"/>
  <c r="G61" i="1"/>
  <c r="B61" i="1"/>
  <c r="S141" i="1"/>
  <c r="N140" i="1"/>
  <c r="O140" i="1" s="1"/>
  <c r="N142" i="1"/>
  <c r="O142" i="1" s="1"/>
  <c r="A62" i="1" l="1"/>
  <c r="C62" i="1"/>
  <c r="D62" i="1" s="1"/>
  <c r="P141" i="1"/>
  <c r="Q141" i="1" s="1"/>
  <c r="N144" i="1" s="1"/>
  <c r="O144" i="1" s="1"/>
  <c r="E62" i="1" l="1"/>
  <c r="F62" i="1" s="1"/>
  <c r="G62" i="1"/>
  <c r="B62" i="1"/>
  <c r="S144" i="1"/>
  <c r="N143" i="1"/>
  <c r="O143" i="1" s="1"/>
  <c r="N145" i="1"/>
  <c r="O145" i="1" s="1"/>
  <c r="H47" i="1"/>
  <c r="I47" i="1"/>
  <c r="A63" i="1" l="1"/>
  <c r="C63" i="1"/>
  <c r="D63" i="1" s="1"/>
  <c r="P144" i="1"/>
  <c r="Q144" i="1" s="1"/>
  <c r="N147" i="1" s="1"/>
  <c r="O147" i="1" s="1"/>
  <c r="B63" i="1" l="1"/>
  <c r="E63" i="1"/>
  <c r="F63" i="1" s="1"/>
  <c r="G63" i="1"/>
  <c r="S147" i="1"/>
  <c r="N148" i="1"/>
  <c r="O148" i="1" s="1"/>
  <c r="N146" i="1"/>
  <c r="O146" i="1" s="1"/>
  <c r="A64" i="1" l="1"/>
  <c r="C64" i="1"/>
  <c r="D64" i="1" s="1"/>
  <c r="P147" i="1"/>
  <c r="Q147" i="1" s="1"/>
  <c r="N150" i="1" s="1"/>
  <c r="O150" i="1" s="1"/>
  <c r="H48" i="1"/>
  <c r="I48" i="1"/>
  <c r="G64" i="1" l="1"/>
  <c r="E64" i="1"/>
  <c r="F64" i="1" s="1"/>
  <c r="B64" i="1"/>
  <c r="S150" i="1"/>
  <c r="N149" i="1"/>
  <c r="O149" i="1" s="1"/>
  <c r="N151" i="1"/>
  <c r="O151" i="1" s="1"/>
  <c r="A65" i="1" l="1"/>
  <c r="C65" i="1"/>
  <c r="D65" i="1" s="1"/>
  <c r="P150" i="1"/>
  <c r="I49" i="1"/>
  <c r="H49" i="1"/>
  <c r="B65" i="1" l="1"/>
  <c r="E65" i="1"/>
  <c r="F65" i="1" s="1"/>
  <c r="G65" i="1"/>
  <c r="Q150" i="1"/>
  <c r="N153" i="1" s="1"/>
  <c r="O153" i="1" s="1"/>
  <c r="A66" i="1" l="1"/>
  <c r="C66" i="1"/>
  <c r="D66" i="1" s="1"/>
  <c r="S153" i="1"/>
  <c r="N154" i="1"/>
  <c r="O154" i="1" s="1"/>
  <c r="N152" i="1"/>
  <c r="O152" i="1" s="1"/>
  <c r="H50" i="1"/>
  <c r="I50" i="1"/>
  <c r="E66" i="1" l="1"/>
  <c r="F66" i="1" s="1"/>
  <c r="B66" i="1"/>
  <c r="G66" i="1"/>
  <c r="P153" i="1"/>
  <c r="Q153" i="1" s="1"/>
  <c r="N156" i="1" s="1"/>
  <c r="O156" i="1" s="1"/>
  <c r="C67" i="1" l="1"/>
  <c r="D67" i="1" s="1"/>
  <c r="A67" i="1"/>
  <c r="S156" i="1"/>
  <c r="N155" i="1"/>
  <c r="O155" i="1" s="1"/>
  <c r="N157" i="1"/>
  <c r="O157" i="1" s="1"/>
  <c r="B67" i="1" l="1"/>
  <c r="E67" i="1"/>
  <c r="F67" i="1" s="1"/>
  <c r="G67" i="1"/>
  <c r="P156" i="1"/>
  <c r="H51" i="1"/>
  <c r="I51" i="1"/>
  <c r="A68" i="1" l="1"/>
  <c r="C68" i="1"/>
  <c r="D68" i="1" s="1"/>
  <c r="Q156" i="1"/>
  <c r="N159" i="1" s="1"/>
  <c r="O159" i="1" s="1"/>
  <c r="E68" i="1" l="1"/>
  <c r="F68" i="1" s="1"/>
  <c r="G68" i="1"/>
  <c r="B68" i="1"/>
  <c r="S159" i="1"/>
  <c r="N160" i="1"/>
  <c r="O160" i="1" s="1"/>
  <c r="N158" i="1"/>
  <c r="O158" i="1" s="1"/>
  <c r="H52" i="1"/>
  <c r="I52" i="1"/>
  <c r="A69" i="1" l="1"/>
  <c r="C69" i="1"/>
  <c r="D69" i="1" s="1"/>
  <c r="P159" i="1"/>
  <c r="E69" i="1" l="1"/>
  <c r="F69" i="1" s="1"/>
  <c r="G69" i="1"/>
  <c r="B69" i="1"/>
  <c r="Q159" i="1"/>
  <c r="N162" i="1" s="1"/>
  <c r="O162" i="1" s="1"/>
  <c r="A70" i="1" l="1"/>
  <c r="C70" i="1"/>
  <c r="D70" i="1" s="1"/>
  <c r="S162" i="1"/>
  <c r="N161" i="1"/>
  <c r="O161" i="1" s="1"/>
  <c r="N163" i="1"/>
  <c r="O163" i="1" s="1"/>
  <c r="H53" i="1"/>
  <c r="I53" i="1"/>
  <c r="B70" i="1" l="1"/>
  <c r="E70" i="1"/>
  <c r="F70" i="1" s="1"/>
  <c r="G70" i="1"/>
  <c r="P162" i="1"/>
  <c r="Q162" i="1" s="1"/>
  <c r="N165" i="1" s="1"/>
  <c r="O165" i="1" s="1"/>
  <c r="H54" i="1"/>
  <c r="C71" i="1" l="1"/>
  <c r="D71" i="1" s="1"/>
  <c r="A71" i="1"/>
  <c r="S165" i="1"/>
  <c r="N164" i="1"/>
  <c r="O164" i="1" s="1"/>
  <c r="N166" i="1"/>
  <c r="O166" i="1" s="1"/>
  <c r="I54" i="1"/>
  <c r="G71" i="1" l="1"/>
  <c r="E71" i="1"/>
  <c r="F71" i="1" s="1"/>
  <c r="B71" i="1"/>
  <c r="P165" i="1"/>
  <c r="A72" i="1" l="1"/>
  <c r="C72" i="1"/>
  <c r="D72" i="1" s="1"/>
  <c r="Q165" i="1"/>
  <c r="N168" i="1" s="1"/>
  <c r="O168" i="1" s="1"/>
  <c r="I55" i="1"/>
  <c r="H55" i="1"/>
  <c r="B72" i="1" l="1"/>
  <c r="E72" i="1"/>
  <c r="F72" i="1" s="1"/>
  <c r="G72" i="1"/>
  <c r="S168" i="1"/>
  <c r="N167" i="1"/>
  <c r="O167" i="1" s="1"/>
  <c r="N169" i="1"/>
  <c r="O169" i="1" s="1"/>
  <c r="A73" i="1" l="1"/>
  <c r="C73" i="1"/>
  <c r="D73" i="1" s="1"/>
  <c r="P168" i="1"/>
  <c r="Q168" i="1" s="1"/>
  <c r="N171" i="1" s="1"/>
  <c r="O171" i="1" s="1"/>
  <c r="H56" i="1"/>
  <c r="I56" i="1"/>
  <c r="B73" i="1" l="1"/>
  <c r="G73" i="1"/>
  <c r="E73" i="1"/>
  <c r="F73" i="1" s="1"/>
  <c r="S171" i="1"/>
  <c r="N170" i="1"/>
  <c r="O170" i="1" s="1"/>
  <c r="N172" i="1"/>
  <c r="O172" i="1" s="1"/>
  <c r="A74" i="1" l="1"/>
  <c r="C74" i="1"/>
  <c r="D74" i="1" s="1"/>
  <c r="P171" i="1"/>
  <c r="Q171" i="1" s="1"/>
  <c r="N174" i="1" s="1"/>
  <c r="O174" i="1" s="1"/>
  <c r="H57" i="1"/>
  <c r="I57" i="1"/>
  <c r="B74" i="1" l="1"/>
  <c r="E74" i="1"/>
  <c r="F74" i="1" s="1"/>
  <c r="G74" i="1"/>
  <c r="S174" i="1"/>
  <c r="N175" i="1"/>
  <c r="O175" i="1" s="1"/>
  <c r="N173" i="1"/>
  <c r="O173" i="1" s="1"/>
  <c r="A75" i="1" l="1"/>
  <c r="C75" i="1"/>
  <c r="D75" i="1" s="1"/>
  <c r="P174" i="1"/>
  <c r="H58" i="1"/>
  <c r="E75" i="1" l="1"/>
  <c r="F75" i="1" s="1"/>
  <c r="G75" i="1"/>
  <c r="B75" i="1"/>
  <c r="Q174" i="1"/>
  <c r="N177" i="1" s="1"/>
  <c r="O177" i="1" s="1"/>
  <c r="I58" i="1"/>
  <c r="C76" i="1" l="1"/>
  <c r="D76" i="1" s="1"/>
  <c r="A76" i="1"/>
  <c r="S177" i="1"/>
  <c r="N176" i="1"/>
  <c r="O176" i="1" s="1"/>
  <c r="N178" i="1"/>
  <c r="O178" i="1" s="1"/>
  <c r="H59" i="1"/>
  <c r="E76" i="1" l="1"/>
  <c r="F76" i="1" s="1"/>
  <c r="G76" i="1"/>
  <c r="B76" i="1"/>
  <c r="P177" i="1"/>
  <c r="Q177" i="1" s="1"/>
  <c r="N180" i="1" s="1"/>
  <c r="O180" i="1" s="1"/>
  <c r="I59" i="1"/>
  <c r="A77" i="1" l="1"/>
  <c r="C77" i="1"/>
  <c r="D77" i="1" s="1"/>
  <c r="S180" i="1"/>
  <c r="N179" i="1"/>
  <c r="O179" i="1" s="1"/>
  <c r="N181" i="1"/>
  <c r="O181" i="1" s="1"/>
  <c r="B77" i="1" l="1"/>
  <c r="E77" i="1"/>
  <c r="F77" i="1" s="1"/>
  <c r="G77" i="1"/>
  <c r="P180" i="1"/>
  <c r="Q180" i="1" s="1"/>
  <c r="N183" i="1" s="1"/>
  <c r="O183" i="1" s="1"/>
  <c r="H60" i="1"/>
  <c r="A78" i="1" l="1"/>
  <c r="C78" i="1"/>
  <c r="D78" i="1" s="1"/>
  <c r="S183" i="1"/>
  <c r="N182" i="1"/>
  <c r="O182" i="1" s="1"/>
  <c r="N184" i="1"/>
  <c r="O184" i="1" s="1"/>
  <c r="I60" i="1"/>
  <c r="E78" i="1" l="1"/>
  <c r="F78" i="1" s="1"/>
  <c r="G78" i="1"/>
  <c r="B78" i="1"/>
  <c r="P183" i="1"/>
  <c r="Q183" i="1" s="1"/>
  <c r="N186" i="1" s="1"/>
  <c r="O186" i="1" s="1"/>
  <c r="H61" i="1"/>
  <c r="A79" i="1" l="1"/>
  <c r="C79" i="1"/>
  <c r="D79" i="1" s="1"/>
  <c r="S186" i="1"/>
  <c r="N187" i="1"/>
  <c r="O187" i="1" s="1"/>
  <c r="N185" i="1"/>
  <c r="O185" i="1" s="1"/>
  <c r="I61" i="1"/>
  <c r="B79" i="1" l="1"/>
  <c r="E79" i="1"/>
  <c r="F79" i="1" s="1"/>
  <c r="G79" i="1"/>
  <c r="P186" i="1"/>
  <c r="H62" i="1"/>
  <c r="A80" i="1" l="1"/>
  <c r="C80" i="1"/>
  <c r="D80" i="1" s="1"/>
  <c r="Q186" i="1"/>
  <c r="N189" i="1" s="1"/>
  <c r="O189" i="1" s="1"/>
  <c r="I62" i="1"/>
  <c r="G80" i="1" l="1"/>
  <c r="B80" i="1"/>
  <c r="E80" i="1"/>
  <c r="F80" i="1" s="1"/>
  <c r="S189" i="1"/>
  <c r="N190" i="1"/>
  <c r="O190" i="1" s="1"/>
  <c r="N188" i="1"/>
  <c r="O188" i="1" s="1"/>
  <c r="A81" i="1" l="1"/>
  <c r="C81" i="1"/>
  <c r="D81" i="1" s="1"/>
  <c r="P189" i="1"/>
  <c r="H63" i="1"/>
  <c r="B81" i="1" l="1"/>
  <c r="E81" i="1"/>
  <c r="F81" i="1" s="1"/>
  <c r="G81" i="1"/>
  <c r="Q189" i="1"/>
  <c r="N192" i="1" s="1"/>
  <c r="O192" i="1" s="1"/>
  <c r="I63" i="1"/>
  <c r="C82" i="1" l="1"/>
  <c r="D82" i="1" s="1"/>
  <c r="A82" i="1"/>
  <c r="S192" i="1"/>
  <c r="N191" i="1"/>
  <c r="O191" i="1" s="1"/>
  <c r="N193" i="1"/>
  <c r="O193" i="1" s="1"/>
  <c r="H64" i="1"/>
  <c r="G82" i="1" l="1"/>
  <c r="B82" i="1"/>
  <c r="E82" i="1"/>
  <c r="F82" i="1" s="1"/>
  <c r="P192" i="1"/>
  <c r="Q192" i="1" s="1"/>
  <c r="N195" i="1" s="1"/>
  <c r="O195" i="1" s="1"/>
  <c r="C83" i="1" l="1"/>
  <c r="D83" i="1" s="1"/>
  <c r="A83" i="1"/>
  <c r="S195" i="1"/>
  <c r="N196" i="1"/>
  <c r="O196" i="1" s="1"/>
  <c r="N194" i="1"/>
  <c r="O194" i="1" s="1"/>
  <c r="I64" i="1"/>
  <c r="B83" i="1" l="1"/>
  <c r="E83" i="1"/>
  <c r="F83" i="1" s="1"/>
  <c r="G83" i="1"/>
  <c r="P195" i="1"/>
  <c r="Q195" i="1" s="1"/>
  <c r="N198" i="1" s="1"/>
  <c r="O198" i="1" s="1"/>
  <c r="A84" i="1" l="1"/>
  <c r="C84" i="1"/>
  <c r="D84" i="1" s="1"/>
  <c r="S198" i="1"/>
  <c r="N197" i="1"/>
  <c r="O197" i="1" s="1"/>
  <c r="N199" i="1"/>
  <c r="O199" i="1" s="1"/>
  <c r="H65" i="1"/>
  <c r="E84" i="1" l="1"/>
  <c r="F84" i="1" s="1"/>
  <c r="G84" i="1"/>
  <c r="B84" i="1"/>
  <c r="P198" i="1"/>
  <c r="Q198" i="1" s="1"/>
  <c r="N201" i="1" s="1"/>
  <c r="O201" i="1" s="1"/>
  <c r="I65" i="1"/>
  <c r="A85" i="1" l="1"/>
  <c r="C85" i="1"/>
  <c r="D85" i="1" s="1"/>
  <c r="S201" i="1"/>
  <c r="N200" i="1"/>
  <c r="O200" i="1" s="1"/>
  <c r="N202" i="1"/>
  <c r="O202" i="1" s="1"/>
  <c r="H66" i="1"/>
  <c r="E85" i="1" l="1"/>
  <c r="F85" i="1" s="1"/>
  <c r="G85" i="1"/>
  <c r="B85" i="1"/>
  <c r="P201" i="1"/>
  <c r="I66" i="1"/>
  <c r="A86" i="1" l="1"/>
  <c r="C86" i="1"/>
  <c r="D86" i="1" s="1"/>
  <c r="Q201" i="1"/>
  <c r="N204" i="1" s="1"/>
  <c r="O204" i="1" s="1"/>
  <c r="H67" i="1"/>
  <c r="B86" i="1" l="1"/>
  <c r="G86" i="1"/>
  <c r="E86" i="1"/>
  <c r="F86" i="1" s="1"/>
  <c r="S204" i="1"/>
  <c r="N203" i="1"/>
  <c r="O203" i="1" s="1"/>
  <c r="N205" i="1"/>
  <c r="O205" i="1" s="1"/>
  <c r="I67" i="1"/>
  <c r="A87" i="1" l="1"/>
  <c r="C87" i="1"/>
  <c r="D87" i="1" s="1"/>
  <c r="P204" i="1"/>
  <c r="Q204" i="1" s="1"/>
  <c r="N207" i="1" s="1"/>
  <c r="O207" i="1" s="1"/>
  <c r="H68" i="1"/>
  <c r="G87" i="1" l="1"/>
  <c r="B87" i="1"/>
  <c r="E87" i="1"/>
  <c r="F87" i="1" s="1"/>
  <c r="S207" i="1"/>
  <c r="N206" i="1"/>
  <c r="O206" i="1" s="1"/>
  <c r="N208" i="1"/>
  <c r="O208" i="1" s="1"/>
  <c r="I68" i="1"/>
  <c r="A88" i="1" l="1"/>
  <c r="C88" i="1"/>
  <c r="D88" i="1" s="1"/>
  <c r="P207" i="1"/>
  <c r="Q207" i="1" s="1"/>
  <c r="N210" i="1" s="1"/>
  <c r="O210" i="1" s="1"/>
  <c r="H69" i="1"/>
  <c r="B88" i="1" l="1"/>
  <c r="E88" i="1"/>
  <c r="F88" i="1" s="1"/>
  <c r="G88" i="1"/>
  <c r="S210" i="1"/>
  <c r="N209" i="1"/>
  <c r="O209" i="1" s="1"/>
  <c r="N211" i="1"/>
  <c r="O211" i="1" s="1"/>
  <c r="I69" i="1"/>
  <c r="A89" i="1" l="1"/>
  <c r="C89" i="1"/>
  <c r="D89" i="1" s="1"/>
  <c r="P210" i="1"/>
  <c r="Q210" i="1" s="1"/>
  <c r="N213" i="1" s="1"/>
  <c r="O213" i="1" s="1"/>
  <c r="G89" i="1" l="1"/>
  <c r="B89" i="1"/>
  <c r="E89" i="1"/>
  <c r="F89" i="1" s="1"/>
  <c r="S213" i="1"/>
  <c r="N214" i="1"/>
  <c r="O214" i="1" s="1"/>
  <c r="N212" i="1"/>
  <c r="O212" i="1" s="1"/>
  <c r="H70" i="1"/>
  <c r="A90" i="1" l="1"/>
  <c r="C90" i="1"/>
  <c r="D90" i="1" s="1"/>
  <c r="P213" i="1"/>
  <c r="I70" i="1"/>
  <c r="B90" i="1" l="1"/>
  <c r="E90" i="1"/>
  <c r="F90" i="1" s="1"/>
  <c r="G90" i="1"/>
  <c r="Q213" i="1"/>
  <c r="N216" i="1" s="1"/>
  <c r="O216" i="1" s="1"/>
  <c r="A91" i="1" l="1"/>
  <c r="C91" i="1"/>
  <c r="D91" i="1" s="1"/>
  <c r="S216" i="1"/>
  <c r="N217" i="1"/>
  <c r="O217" i="1" s="1"/>
  <c r="N215" i="1"/>
  <c r="O215" i="1" s="1"/>
  <c r="H71" i="1"/>
  <c r="B91" i="1" l="1"/>
  <c r="G91" i="1"/>
  <c r="E91" i="1"/>
  <c r="F91" i="1" s="1"/>
  <c r="P216" i="1"/>
  <c r="Q216" i="1" s="1"/>
  <c r="N219" i="1" s="1"/>
  <c r="O219" i="1" s="1"/>
  <c r="I71" i="1"/>
  <c r="C92" i="1" l="1"/>
  <c r="D92" i="1" s="1"/>
  <c r="A92" i="1"/>
  <c r="S219" i="1"/>
  <c r="N220" i="1"/>
  <c r="O220" i="1" s="1"/>
  <c r="N218" i="1"/>
  <c r="O218" i="1" s="1"/>
  <c r="E92" i="1" l="1"/>
  <c r="F92" i="1" s="1"/>
  <c r="G92" i="1"/>
  <c r="B92" i="1"/>
  <c r="P219" i="1"/>
  <c r="Q219" i="1" s="1"/>
  <c r="N222" i="1" s="1"/>
  <c r="O222" i="1" s="1"/>
  <c r="H72" i="1"/>
  <c r="A93" i="1" l="1"/>
  <c r="C93" i="1"/>
  <c r="D93" i="1" s="1"/>
  <c r="S222" i="1"/>
  <c r="N223" i="1"/>
  <c r="O223" i="1" s="1"/>
  <c r="N221" i="1"/>
  <c r="O221" i="1" s="1"/>
  <c r="I72" i="1"/>
  <c r="G93" i="1" l="1"/>
  <c r="B93" i="1"/>
  <c r="E93" i="1"/>
  <c r="F93" i="1" s="1"/>
  <c r="P222" i="1"/>
  <c r="H73" i="1"/>
  <c r="C94" i="1" l="1"/>
  <c r="D94" i="1" s="1"/>
  <c r="A94" i="1"/>
  <c r="Q222" i="1"/>
  <c r="N225" i="1" s="1"/>
  <c r="O225" i="1" s="1"/>
  <c r="I73" i="1"/>
  <c r="E94" i="1" l="1"/>
  <c r="F94" i="1" s="1"/>
  <c r="G94" i="1"/>
  <c r="B94" i="1"/>
  <c r="S225" i="1"/>
  <c r="N224" i="1"/>
  <c r="O224" i="1" s="1"/>
  <c r="N226" i="1"/>
  <c r="O226" i="1" s="1"/>
  <c r="A95" i="1" l="1"/>
  <c r="C95" i="1"/>
  <c r="D95" i="1" s="1"/>
  <c r="P225" i="1"/>
  <c r="H74" i="1"/>
  <c r="B95" i="1" l="1"/>
  <c r="G95" i="1"/>
  <c r="E95" i="1"/>
  <c r="F95" i="1" s="1"/>
  <c r="Q225" i="1"/>
  <c r="N228" i="1" s="1"/>
  <c r="O228" i="1" s="1"/>
  <c r="I74" i="1"/>
  <c r="C96" i="1" l="1"/>
  <c r="D96" i="1" s="1"/>
  <c r="A96" i="1"/>
  <c r="S228" i="1"/>
  <c r="N229" i="1"/>
  <c r="O229" i="1" s="1"/>
  <c r="N227" i="1"/>
  <c r="O227" i="1" s="1"/>
  <c r="G96" i="1" l="1"/>
  <c r="B96" i="1"/>
  <c r="E96" i="1"/>
  <c r="F96" i="1" s="1"/>
  <c r="P228" i="1"/>
  <c r="H75" i="1"/>
  <c r="A97" i="1" l="1"/>
  <c r="C97" i="1"/>
  <c r="D97" i="1" s="1"/>
  <c r="Q228" i="1"/>
  <c r="N231" i="1" s="1"/>
  <c r="O231" i="1" s="1"/>
  <c r="I75" i="1"/>
  <c r="B97" i="1" l="1"/>
  <c r="E97" i="1"/>
  <c r="F97" i="1" s="1"/>
  <c r="G97" i="1"/>
  <c r="S231" i="1"/>
  <c r="N230" i="1"/>
  <c r="O230" i="1" s="1"/>
  <c r="N232" i="1"/>
  <c r="O232" i="1" s="1"/>
  <c r="C98" i="1" l="1"/>
  <c r="D98" i="1" s="1"/>
  <c r="A98" i="1"/>
  <c r="P231" i="1"/>
  <c r="Q231" i="1" s="1"/>
  <c r="N234" i="1" s="1"/>
  <c r="O234" i="1" s="1"/>
  <c r="H76" i="1"/>
  <c r="B98" i="1" l="1"/>
  <c r="E98" i="1"/>
  <c r="F98" i="1" s="1"/>
  <c r="G98" i="1"/>
  <c r="S234" i="1"/>
  <c r="N235" i="1"/>
  <c r="O235" i="1" s="1"/>
  <c r="N233" i="1"/>
  <c r="O233" i="1" s="1"/>
  <c r="I76" i="1"/>
  <c r="C99" i="1" l="1"/>
  <c r="D99" i="1" s="1"/>
  <c r="A99" i="1"/>
  <c r="P234" i="1"/>
  <c r="Q234" i="1" s="1"/>
  <c r="N237" i="1" s="1"/>
  <c r="O237" i="1" s="1"/>
  <c r="H77" i="1"/>
  <c r="B99" i="1" l="1"/>
  <c r="E99" i="1"/>
  <c r="F99" i="1" s="1"/>
  <c r="G99" i="1"/>
  <c r="S237" i="1"/>
  <c r="N238" i="1"/>
  <c r="O238" i="1" s="1"/>
  <c r="N236" i="1"/>
  <c r="O236" i="1" s="1"/>
  <c r="C100" i="1" l="1"/>
  <c r="D100" i="1" s="1"/>
  <c r="A100" i="1"/>
  <c r="P237" i="1"/>
  <c r="I77" i="1"/>
  <c r="B100" i="1" l="1"/>
  <c r="E100" i="1"/>
  <c r="F100" i="1" s="1"/>
  <c r="G100" i="1"/>
  <c r="Q237" i="1"/>
  <c r="N240" i="1" s="1"/>
  <c r="O240" i="1" s="1"/>
  <c r="A101" i="1" l="1"/>
  <c r="C101" i="1"/>
  <c r="D101" i="1" s="1"/>
  <c r="S240" i="1"/>
  <c r="N241" i="1"/>
  <c r="O241" i="1" s="1"/>
  <c r="N239" i="1"/>
  <c r="O239" i="1" s="1"/>
  <c r="H78" i="1"/>
  <c r="E101" i="1" l="1"/>
  <c r="F101" i="1" s="1"/>
  <c r="G101" i="1"/>
  <c r="B101" i="1"/>
  <c r="P240" i="1"/>
  <c r="I78" i="1"/>
  <c r="A102" i="1" l="1"/>
  <c r="C102" i="1"/>
  <c r="D102" i="1" s="1"/>
  <c r="Q240" i="1"/>
  <c r="N243" i="1" s="1"/>
  <c r="O243" i="1" s="1"/>
  <c r="B102" i="1" l="1"/>
  <c r="G102" i="1"/>
  <c r="E102" i="1"/>
  <c r="F102" i="1" s="1"/>
  <c r="S243" i="1"/>
  <c r="N242" i="1"/>
  <c r="O242" i="1" s="1"/>
  <c r="N244" i="1"/>
  <c r="O244" i="1" s="1"/>
  <c r="H79" i="1"/>
  <c r="A103" i="1" l="1"/>
  <c r="C103" i="1"/>
  <c r="D103" i="1" s="1"/>
  <c r="P243" i="1"/>
  <c r="I79" i="1"/>
  <c r="G103" i="1" l="1"/>
  <c r="E103" i="1"/>
  <c r="F103" i="1" s="1"/>
  <c r="B103" i="1"/>
  <c r="Q243" i="1"/>
  <c r="N246" i="1" s="1"/>
  <c r="O246" i="1" s="1"/>
  <c r="H80" i="1"/>
  <c r="A104" i="1" l="1"/>
  <c r="C104" i="1"/>
  <c r="D104" i="1" s="1"/>
  <c r="S246" i="1"/>
  <c r="N245" i="1"/>
  <c r="O245" i="1" s="1"/>
  <c r="N247" i="1"/>
  <c r="O247" i="1" s="1"/>
  <c r="I80" i="1"/>
  <c r="B104" i="1" l="1"/>
  <c r="E104" i="1"/>
  <c r="F104" i="1" s="1"/>
  <c r="G104" i="1"/>
  <c r="P246" i="1"/>
  <c r="H81" i="1"/>
  <c r="A105" i="1" l="1"/>
  <c r="C105" i="1"/>
  <c r="D105" i="1" s="1"/>
  <c r="Q246" i="1"/>
  <c r="N249" i="1" s="1"/>
  <c r="O249" i="1" s="1"/>
  <c r="I81" i="1"/>
  <c r="B105" i="1" l="1"/>
  <c r="E105" i="1"/>
  <c r="F105" i="1" s="1"/>
  <c r="G105" i="1"/>
  <c r="S249" i="1"/>
  <c r="N248" i="1"/>
  <c r="O248" i="1" s="1"/>
  <c r="N250" i="1"/>
  <c r="O250" i="1" s="1"/>
  <c r="H82" i="1"/>
  <c r="A106" i="1" l="1"/>
  <c r="C106" i="1"/>
  <c r="D106" i="1" s="1"/>
  <c r="P249" i="1"/>
  <c r="Q249" i="1" s="1"/>
  <c r="N252" i="1" s="1"/>
  <c r="O252" i="1" s="1"/>
  <c r="B106" i="1" l="1"/>
  <c r="E106" i="1"/>
  <c r="F106" i="1" s="1"/>
  <c r="G106" i="1"/>
  <c r="S252" i="1"/>
  <c r="N253" i="1"/>
  <c r="O253" i="1" s="1"/>
  <c r="N251" i="1"/>
  <c r="O251" i="1" s="1"/>
  <c r="I82" i="1"/>
  <c r="A107" i="1" l="1"/>
  <c r="C107" i="1"/>
  <c r="D107" i="1" s="1"/>
  <c r="P252" i="1"/>
  <c r="B107" i="1" l="1"/>
  <c r="E107" i="1"/>
  <c r="F107" i="1" s="1"/>
  <c r="G107" i="1"/>
  <c r="Q252" i="1"/>
  <c r="N255" i="1" s="1"/>
  <c r="O255" i="1" s="1"/>
  <c r="H83" i="1"/>
  <c r="C108" i="1" l="1"/>
  <c r="D108" i="1" s="1"/>
  <c r="A108" i="1"/>
  <c r="S255" i="1"/>
  <c r="N254" i="1"/>
  <c r="O254" i="1" s="1"/>
  <c r="N256" i="1"/>
  <c r="O256" i="1" s="1"/>
  <c r="I83" i="1"/>
  <c r="E108" i="1" l="1"/>
  <c r="F108" i="1" s="1"/>
  <c r="G108" i="1"/>
  <c r="B108" i="1"/>
  <c r="P255" i="1"/>
  <c r="Q255" i="1" s="1"/>
  <c r="N258" i="1" s="1"/>
  <c r="O258" i="1" s="1"/>
  <c r="H84" i="1"/>
  <c r="A109" i="1" l="1"/>
  <c r="C109" i="1"/>
  <c r="D109" i="1" s="1"/>
  <c r="S258" i="1"/>
  <c r="N257" i="1"/>
  <c r="O257" i="1" s="1"/>
  <c r="N259" i="1"/>
  <c r="O259" i="1" s="1"/>
  <c r="B109" i="1" l="1"/>
  <c r="E109" i="1"/>
  <c r="F109" i="1" s="1"/>
  <c r="G109" i="1"/>
  <c r="P258" i="1"/>
  <c r="I84" i="1"/>
  <c r="A110" i="1" l="1"/>
  <c r="C110" i="1"/>
  <c r="D110" i="1" s="1"/>
  <c r="Q258" i="1"/>
  <c r="N261" i="1" s="1"/>
  <c r="O261" i="1" s="1"/>
  <c r="E110" i="1" l="1"/>
  <c r="F110" i="1" s="1"/>
  <c r="G110" i="1"/>
  <c r="B110" i="1"/>
  <c r="S261" i="1"/>
  <c r="N262" i="1"/>
  <c r="O262" i="1" s="1"/>
  <c r="N260" i="1"/>
  <c r="O260" i="1" s="1"/>
  <c r="H85" i="1"/>
  <c r="A111" i="1" l="1"/>
  <c r="C111" i="1"/>
  <c r="D111" i="1" s="1"/>
  <c r="P261" i="1"/>
  <c r="Q261" i="1" s="1"/>
  <c r="N264" i="1" s="1"/>
  <c r="O264" i="1" s="1"/>
  <c r="I85" i="1"/>
  <c r="B111" i="1" l="1"/>
  <c r="E111" i="1"/>
  <c r="F111" i="1" s="1"/>
  <c r="G111" i="1"/>
  <c r="S264" i="1"/>
  <c r="N263" i="1"/>
  <c r="O263" i="1" s="1"/>
  <c r="N265" i="1"/>
  <c r="O265" i="1" s="1"/>
  <c r="H86" i="1"/>
  <c r="A112" i="1" l="1"/>
  <c r="C112" i="1"/>
  <c r="D112" i="1" s="1"/>
  <c r="P264" i="1"/>
  <c r="I86" i="1"/>
  <c r="G112" i="1" l="1"/>
  <c r="B112" i="1"/>
  <c r="E112" i="1"/>
  <c r="F112" i="1" s="1"/>
  <c r="Q264" i="1"/>
  <c r="N267" i="1" s="1"/>
  <c r="O267" i="1" s="1"/>
  <c r="H87" i="1"/>
  <c r="A113" i="1" l="1"/>
  <c r="C113" i="1"/>
  <c r="D113" i="1" s="1"/>
  <c r="S267" i="1"/>
  <c r="N266" i="1"/>
  <c r="O266" i="1" s="1"/>
  <c r="N268" i="1"/>
  <c r="O268" i="1" s="1"/>
  <c r="I87" i="1"/>
  <c r="B113" i="1" l="1"/>
  <c r="E113" i="1"/>
  <c r="F113" i="1" s="1"/>
  <c r="G113" i="1"/>
  <c r="P267" i="1"/>
  <c r="H88" i="1"/>
  <c r="A114" i="1" l="1"/>
  <c r="C114" i="1"/>
  <c r="D114" i="1" s="1"/>
  <c r="Q267" i="1"/>
  <c r="N270" i="1" s="1"/>
  <c r="O270" i="1" s="1"/>
  <c r="E114" i="1" l="1"/>
  <c r="F114" i="1" s="1"/>
  <c r="G114" i="1"/>
  <c r="B114" i="1"/>
  <c r="S270" i="1"/>
  <c r="N271" i="1"/>
  <c r="O271" i="1" s="1"/>
  <c r="N269" i="1"/>
  <c r="O269" i="1" s="1"/>
  <c r="I88" i="1"/>
  <c r="C115" i="1" l="1"/>
  <c r="D115" i="1" s="1"/>
  <c r="A115" i="1"/>
  <c r="P270" i="1"/>
  <c r="Q270" i="1" s="1"/>
  <c r="N273" i="1" s="1"/>
  <c r="O273" i="1" s="1"/>
  <c r="B115" i="1" l="1"/>
  <c r="E115" i="1"/>
  <c r="F115" i="1" s="1"/>
  <c r="G115" i="1"/>
  <c r="S273" i="1"/>
  <c r="N274" i="1"/>
  <c r="O274" i="1" s="1"/>
  <c r="N272" i="1"/>
  <c r="O272" i="1" s="1"/>
  <c r="H89" i="1"/>
  <c r="A116" i="1" l="1"/>
  <c r="C116" i="1"/>
  <c r="D116" i="1" s="1"/>
  <c r="P273" i="1"/>
  <c r="Q273" i="1" s="1"/>
  <c r="N276" i="1" s="1"/>
  <c r="O276" i="1" s="1"/>
  <c r="I89" i="1"/>
  <c r="B116" i="1" l="1"/>
  <c r="E116" i="1"/>
  <c r="F116" i="1" s="1"/>
  <c r="G116" i="1"/>
  <c r="S276" i="1"/>
  <c r="N275" i="1"/>
  <c r="O275" i="1" s="1"/>
  <c r="N277" i="1"/>
  <c r="O277" i="1" s="1"/>
  <c r="H90" i="1"/>
  <c r="A117" i="1" l="1"/>
  <c r="C117" i="1"/>
  <c r="D117" i="1" s="1"/>
  <c r="P276" i="1"/>
  <c r="I90" i="1"/>
  <c r="E117" i="1" l="1"/>
  <c r="F117" i="1" s="1"/>
  <c r="G117" i="1"/>
  <c r="B117" i="1"/>
  <c r="Q276" i="1"/>
  <c r="N279" i="1" s="1"/>
  <c r="O279" i="1" s="1"/>
  <c r="H91" i="1"/>
  <c r="A118" i="1" l="1"/>
  <c r="C118" i="1"/>
  <c r="D118" i="1" s="1"/>
  <c r="S279" i="1"/>
  <c r="N280" i="1"/>
  <c r="O280" i="1" s="1"/>
  <c r="N278" i="1"/>
  <c r="O278" i="1" s="1"/>
  <c r="I91" i="1"/>
  <c r="B118" i="1" l="1"/>
  <c r="G118" i="1"/>
  <c r="E118" i="1"/>
  <c r="F118" i="1" s="1"/>
  <c r="P279" i="1"/>
  <c r="Q279" i="1" s="1"/>
  <c r="N282" i="1" s="1"/>
  <c r="O282" i="1" s="1"/>
  <c r="C119" i="1" l="1"/>
  <c r="D119" i="1" s="1"/>
  <c r="A119" i="1"/>
  <c r="S282" i="1"/>
  <c r="N281" i="1"/>
  <c r="O281" i="1" s="1"/>
  <c r="N283" i="1"/>
  <c r="O283" i="1" s="1"/>
  <c r="H92" i="1"/>
  <c r="G119" i="1" l="1"/>
  <c r="E119" i="1"/>
  <c r="F119" i="1" s="1"/>
  <c r="B119" i="1"/>
  <c r="P282" i="1"/>
  <c r="I92" i="1"/>
  <c r="A120" i="1" l="1"/>
  <c r="C120" i="1"/>
  <c r="D120" i="1" s="1"/>
  <c r="Q282" i="1"/>
  <c r="N285" i="1" s="1"/>
  <c r="O285" i="1" s="1"/>
  <c r="H93" i="1"/>
  <c r="B120" i="1" l="1"/>
  <c r="E120" i="1"/>
  <c r="F120" i="1" s="1"/>
  <c r="G120" i="1"/>
  <c r="S285" i="1"/>
  <c r="N286" i="1"/>
  <c r="O286" i="1" s="1"/>
  <c r="N284" i="1"/>
  <c r="O284" i="1" s="1"/>
  <c r="I93" i="1"/>
  <c r="A121" i="1" l="1"/>
  <c r="C121" i="1"/>
  <c r="D121" i="1" s="1"/>
  <c r="P285" i="1"/>
  <c r="H94" i="1"/>
  <c r="G121" i="1" l="1"/>
  <c r="E121" i="1"/>
  <c r="F121" i="1" s="1"/>
  <c r="B121" i="1"/>
  <c r="Q285" i="1"/>
  <c r="N288" i="1" s="1"/>
  <c r="O288" i="1" s="1"/>
  <c r="I94" i="1"/>
  <c r="A122" i="1" l="1"/>
  <c r="C122" i="1"/>
  <c r="D122" i="1" s="1"/>
  <c r="S288" i="1"/>
  <c r="N287" i="1"/>
  <c r="O287" i="1" s="1"/>
  <c r="N289" i="1"/>
  <c r="O289" i="1" s="1"/>
  <c r="H95" i="1"/>
  <c r="B122" i="1" l="1"/>
  <c r="E122" i="1"/>
  <c r="F122" i="1" s="1"/>
  <c r="G122" i="1"/>
  <c r="P288" i="1"/>
  <c r="I95" i="1"/>
  <c r="C123" i="1" l="1"/>
  <c r="D123" i="1" s="1"/>
  <c r="A123" i="1"/>
  <c r="Q288" i="1"/>
  <c r="N291" i="1" s="1"/>
  <c r="O291" i="1" s="1"/>
  <c r="H96" i="1"/>
  <c r="E123" i="1" l="1"/>
  <c r="F123" i="1" s="1"/>
  <c r="B123" i="1"/>
  <c r="G123" i="1"/>
  <c r="S291" i="1"/>
  <c r="N292" i="1"/>
  <c r="O292" i="1" s="1"/>
  <c r="N290" i="1"/>
  <c r="O290" i="1" s="1"/>
  <c r="I96" i="1"/>
  <c r="C124" i="1" l="1"/>
  <c r="D124" i="1" s="1"/>
  <c r="A124" i="1"/>
  <c r="P291" i="1"/>
  <c r="H97" i="1"/>
  <c r="E124" i="1" l="1"/>
  <c r="F124" i="1" s="1"/>
  <c r="G124" i="1"/>
  <c r="B124" i="1"/>
  <c r="Q291" i="1"/>
  <c r="N294" i="1" s="1"/>
  <c r="O294" i="1" s="1"/>
  <c r="I97" i="1"/>
  <c r="A125" i="1" l="1"/>
  <c r="C125" i="1"/>
  <c r="D125" i="1" s="1"/>
  <c r="S294" i="1"/>
  <c r="N295" i="1"/>
  <c r="O295" i="1" s="1"/>
  <c r="N293" i="1"/>
  <c r="O293" i="1" s="1"/>
  <c r="H98" i="1"/>
  <c r="B125" i="1" l="1"/>
  <c r="E125" i="1"/>
  <c r="F125" i="1" s="1"/>
  <c r="G125" i="1"/>
  <c r="P294" i="1"/>
  <c r="I98" i="1"/>
  <c r="C126" i="1" l="1"/>
  <c r="D126" i="1" s="1"/>
  <c r="A126" i="1"/>
  <c r="Q294" i="1"/>
  <c r="N297" i="1" s="1"/>
  <c r="O297" i="1" s="1"/>
  <c r="E126" i="1" l="1"/>
  <c r="F126" i="1" s="1"/>
  <c r="G126" i="1"/>
  <c r="B126" i="1"/>
  <c r="S297" i="1"/>
  <c r="N296" i="1"/>
  <c r="O296" i="1" s="1"/>
  <c r="N298" i="1"/>
  <c r="O298" i="1" s="1"/>
  <c r="H99" i="1"/>
  <c r="A127" i="1" l="1"/>
  <c r="C127" i="1"/>
  <c r="D127" i="1" s="1"/>
  <c r="P297" i="1"/>
  <c r="I99" i="1"/>
  <c r="B127" i="1" l="1"/>
  <c r="E127" i="1"/>
  <c r="F127" i="1" s="1"/>
  <c r="G127" i="1"/>
  <c r="Q297" i="1"/>
  <c r="N300" i="1" s="1"/>
  <c r="O300" i="1" s="1"/>
  <c r="H100" i="1"/>
  <c r="A128" i="1" l="1"/>
  <c r="C128" i="1"/>
  <c r="D128" i="1" s="1"/>
  <c r="S300" i="1"/>
  <c r="N301" i="1"/>
  <c r="O301" i="1" s="1"/>
  <c r="N299" i="1"/>
  <c r="O299" i="1" s="1"/>
  <c r="I100" i="1"/>
  <c r="G128" i="1" l="1"/>
  <c r="B128" i="1"/>
  <c r="E128" i="1"/>
  <c r="F128" i="1" s="1"/>
  <c r="P300" i="1"/>
  <c r="Q300" i="1" s="1"/>
  <c r="N303" i="1" s="1"/>
  <c r="O303" i="1" s="1"/>
  <c r="H101" i="1"/>
  <c r="A129" i="1" l="1"/>
  <c r="C129" i="1"/>
  <c r="D129" i="1" s="1"/>
  <c r="S303" i="1"/>
  <c r="N302" i="1"/>
  <c r="O302" i="1" s="1"/>
  <c r="N304" i="1"/>
  <c r="O304" i="1" s="1"/>
  <c r="I101" i="1"/>
  <c r="B129" i="1" l="1"/>
  <c r="E129" i="1"/>
  <c r="F129" i="1" s="1"/>
  <c r="G129" i="1"/>
  <c r="P303" i="1"/>
  <c r="H102" i="1"/>
  <c r="C130" i="1" l="1"/>
  <c r="D130" i="1" s="1"/>
  <c r="A130" i="1"/>
  <c r="Q303" i="1"/>
  <c r="N306" i="1" s="1"/>
  <c r="O306" i="1" s="1"/>
  <c r="I102" i="1"/>
  <c r="G130" i="1" l="1"/>
  <c r="B130" i="1"/>
  <c r="E130" i="1"/>
  <c r="F130" i="1" s="1"/>
  <c r="S306" i="1"/>
  <c r="N307" i="1"/>
  <c r="O307" i="1" s="1"/>
  <c r="N305" i="1"/>
  <c r="O305" i="1" s="1"/>
  <c r="H103" i="1"/>
  <c r="C131" i="1" l="1"/>
  <c r="D131" i="1" s="1"/>
  <c r="A131" i="1"/>
  <c r="P306" i="1"/>
  <c r="I103" i="1"/>
  <c r="B131" i="1" l="1"/>
  <c r="E131" i="1"/>
  <c r="F131" i="1" s="1"/>
  <c r="G131" i="1"/>
  <c r="Q306" i="1"/>
  <c r="N309" i="1" s="1"/>
  <c r="O309" i="1" s="1"/>
  <c r="A132" i="1" l="1"/>
  <c r="C132" i="1"/>
  <c r="D132" i="1" s="1"/>
  <c r="S309" i="1"/>
  <c r="N310" i="1"/>
  <c r="O310" i="1" s="1"/>
  <c r="N308" i="1"/>
  <c r="O308" i="1" s="1"/>
  <c r="H104" i="1"/>
  <c r="B132" i="1" l="1"/>
  <c r="E132" i="1"/>
  <c r="F132" i="1" s="1"/>
  <c r="G132" i="1"/>
  <c r="P309" i="1"/>
  <c r="Q309" i="1" s="1"/>
  <c r="N312" i="1" s="1"/>
  <c r="O312" i="1" s="1"/>
  <c r="I104" i="1"/>
  <c r="A133" i="1" l="1"/>
  <c r="C133" i="1"/>
  <c r="D133" i="1" s="1"/>
  <c r="S312" i="1"/>
  <c r="N311" i="1"/>
  <c r="O311" i="1" s="1"/>
  <c r="N313" i="1"/>
  <c r="O313" i="1" s="1"/>
  <c r="E133" i="1" l="1"/>
  <c r="F133" i="1" s="1"/>
  <c r="G133" i="1"/>
  <c r="B133" i="1"/>
  <c r="P312" i="1"/>
  <c r="Q312" i="1" s="1"/>
  <c r="N315" i="1" s="1"/>
  <c r="O315" i="1" s="1"/>
  <c r="H105" i="1"/>
  <c r="A134" i="1" l="1"/>
  <c r="C134" i="1"/>
  <c r="D134" i="1" s="1"/>
  <c r="S315" i="1"/>
  <c r="N314" i="1"/>
  <c r="O314" i="1" s="1"/>
  <c r="N316" i="1"/>
  <c r="O316" i="1" s="1"/>
  <c r="I105" i="1"/>
  <c r="B134" i="1" l="1"/>
  <c r="G134" i="1"/>
  <c r="E134" i="1"/>
  <c r="F134" i="1" s="1"/>
  <c r="P315" i="1"/>
  <c r="H106" i="1"/>
  <c r="A135" i="1" l="1"/>
  <c r="C135" i="1"/>
  <c r="D135" i="1" s="1"/>
  <c r="Q315" i="1"/>
  <c r="N318" i="1" s="1"/>
  <c r="O318" i="1" s="1"/>
  <c r="G135" i="1" l="1"/>
  <c r="E135" i="1"/>
  <c r="F135" i="1" s="1"/>
  <c r="B135" i="1"/>
  <c r="S318" i="1"/>
  <c r="N319" i="1"/>
  <c r="O319" i="1" s="1"/>
  <c r="N317" i="1"/>
  <c r="O317" i="1" s="1"/>
  <c r="I106" i="1"/>
  <c r="A136" i="1" l="1"/>
  <c r="C136" i="1"/>
  <c r="D136" i="1" s="1"/>
  <c r="P318" i="1"/>
  <c r="B136" i="1" l="1"/>
  <c r="E136" i="1"/>
  <c r="F136" i="1" s="1"/>
  <c r="G136" i="1"/>
  <c r="Q318" i="1"/>
  <c r="N321" i="1" s="1"/>
  <c r="O321" i="1" s="1"/>
  <c r="H107" i="1"/>
  <c r="A137" i="1" l="1"/>
  <c r="C137" i="1"/>
  <c r="D137" i="1" s="1"/>
  <c r="S321" i="1"/>
  <c r="N322" i="1"/>
  <c r="O322" i="1" s="1"/>
  <c r="N320" i="1"/>
  <c r="O320" i="1" s="1"/>
  <c r="I107" i="1"/>
  <c r="E137" i="1" l="1"/>
  <c r="F137" i="1" s="1"/>
  <c r="G137" i="1"/>
  <c r="B137" i="1"/>
  <c r="P321" i="1"/>
  <c r="A138" i="1" l="1"/>
  <c r="C138" i="1"/>
  <c r="D138" i="1" s="1"/>
  <c r="Q321" i="1"/>
  <c r="N324" i="1" s="1"/>
  <c r="O324" i="1" s="1"/>
  <c r="H108" i="1"/>
  <c r="B138" i="1" l="1"/>
  <c r="E138" i="1"/>
  <c r="F138" i="1" s="1"/>
  <c r="G138" i="1"/>
  <c r="S324" i="1"/>
  <c r="N323" i="1"/>
  <c r="O323" i="1" s="1"/>
  <c r="N325" i="1"/>
  <c r="O325" i="1" s="1"/>
  <c r="I108" i="1"/>
  <c r="A139" i="1" l="1"/>
  <c r="C139" i="1"/>
  <c r="D139" i="1" s="1"/>
  <c r="P324" i="1"/>
  <c r="Q324" i="1" s="1"/>
  <c r="N327" i="1" s="1"/>
  <c r="O327" i="1" s="1"/>
  <c r="H109" i="1"/>
  <c r="B139" i="1" l="1"/>
  <c r="E139" i="1"/>
  <c r="F139" i="1" s="1"/>
  <c r="G139" i="1"/>
  <c r="S327" i="1"/>
  <c r="N326" i="1"/>
  <c r="O326" i="1" s="1"/>
  <c r="N328" i="1"/>
  <c r="O328" i="1" s="1"/>
  <c r="I109" i="1"/>
  <c r="C140" i="1" l="1"/>
  <c r="D140" i="1" s="1"/>
  <c r="A140" i="1"/>
  <c r="P327" i="1"/>
  <c r="H110" i="1"/>
  <c r="E140" i="1" l="1"/>
  <c r="F140" i="1" s="1"/>
  <c r="G140" i="1"/>
  <c r="B140" i="1"/>
  <c r="Q327" i="1"/>
  <c r="N330" i="1" s="1"/>
  <c r="O330" i="1" s="1"/>
  <c r="I110" i="1"/>
  <c r="A141" i="1" l="1"/>
  <c r="C141" i="1"/>
  <c r="D141" i="1" s="1"/>
  <c r="S330" i="1"/>
  <c r="N331" i="1"/>
  <c r="O331" i="1" s="1"/>
  <c r="N329" i="1"/>
  <c r="O329" i="1" s="1"/>
  <c r="H111" i="1"/>
  <c r="E141" i="1" l="1"/>
  <c r="F141" i="1" s="1"/>
  <c r="G141" i="1"/>
  <c r="B141" i="1"/>
  <c r="P330" i="1"/>
  <c r="Q330" i="1" s="1"/>
  <c r="N333" i="1" s="1"/>
  <c r="O333" i="1" s="1"/>
  <c r="I111" i="1"/>
  <c r="A142" i="1" l="1"/>
  <c r="C142" i="1"/>
  <c r="D142" i="1" s="1"/>
  <c r="S333" i="1"/>
  <c r="N332" i="1"/>
  <c r="O332" i="1" s="1"/>
  <c r="N334" i="1"/>
  <c r="O334" i="1" s="1"/>
  <c r="H112" i="1"/>
  <c r="E142" i="1" l="1"/>
  <c r="F142" i="1" s="1"/>
  <c r="G142" i="1"/>
  <c r="B142" i="1"/>
  <c r="P333" i="1"/>
  <c r="Q333" i="1" s="1"/>
  <c r="N336" i="1" s="1"/>
  <c r="O336" i="1" s="1"/>
  <c r="I112" i="1"/>
  <c r="A143" i="1" l="1"/>
  <c r="C143" i="1"/>
  <c r="D143" i="1" s="1"/>
  <c r="S336" i="1"/>
  <c r="N335" i="1"/>
  <c r="O335" i="1" s="1"/>
  <c r="N337" i="1"/>
  <c r="O337" i="1" s="1"/>
  <c r="H113" i="1"/>
  <c r="B143" i="1" l="1"/>
  <c r="G143" i="1"/>
  <c r="E143" i="1"/>
  <c r="F143" i="1" s="1"/>
  <c r="P336" i="1"/>
  <c r="I113" i="1"/>
  <c r="A144" i="1" l="1"/>
  <c r="C144" i="1"/>
  <c r="D144" i="1" s="1"/>
  <c r="Q336" i="1"/>
  <c r="N339" i="1" s="1"/>
  <c r="O339" i="1" s="1"/>
  <c r="G144" i="1" l="1"/>
  <c r="E144" i="1"/>
  <c r="F144" i="1" s="1"/>
  <c r="B144" i="1"/>
  <c r="S339" i="1"/>
  <c r="N340" i="1"/>
  <c r="O340" i="1" s="1"/>
  <c r="N338" i="1"/>
  <c r="O338" i="1" s="1"/>
  <c r="H114" i="1"/>
  <c r="A145" i="1" l="1"/>
  <c r="C145" i="1"/>
  <c r="D145" i="1" s="1"/>
  <c r="P339" i="1"/>
  <c r="Q339" i="1" s="1"/>
  <c r="N342" i="1" s="1"/>
  <c r="O342" i="1" s="1"/>
  <c r="I114" i="1"/>
  <c r="B145" i="1" l="1"/>
  <c r="E145" i="1"/>
  <c r="F145" i="1" s="1"/>
  <c r="G145" i="1"/>
  <c r="S342" i="1"/>
  <c r="N343" i="1"/>
  <c r="O343" i="1" s="1"/>
  <c r="N341" i="1"/>
  <c r="O341" i="1" s="1"/>
  <c r="H115" i="1"/>
  <c r="A146" i="1" l="1"/>
  <c r="C146" i="1"/>
  <c r="D146" i="1" s="1"/>
  <c r="P342" i="1"/>
  <c r="Q342" i="1" s="1"/>
  <c r="N345" i="1" s="1"/>
  <c r="O345" i="1" s="1"/>
  <c r="I115" i="1"/>
  <c r="B146" i="1" l="1"/>
  <c r="E146" i="1"/>
  <c r="F146" i="1" s="1"/>
  <c r="G146" i="1"/>
  <c r="S345" i="1"/>
  <c r="N344" i="1"/>
  <c r="O344" i="1" s="1"/>
  <c r="N346" i="1"/>
  <c r="O346" i="1" s="1"/>
  <c r="H116" i="1"/>
  <c r="I116" i="1"/>
  <c r="C147" i="1" l="1"/>
  <c r="D147" i="1" s="1"/>
  <c r="A147" i="1"/>
  <c r="P345" i="1"/>
  <c r="Q345" i="1" s="1"/>
  <c r="N348" i="1" s="1"/>
  <c r="O348" i="1" s="1"/>
  <c r="H117" i="1"/>
  <c r="B147" i="1" l="1"/>
  <c r="E147" i="1"/>
  <c r="F147" i="1" s="1"/>
  <c r="G147" i="1"/>
  <c r="S348" i="1"/>
  <c r="N349" i="1"/>
  <c r="O349" i="1" s="1"/>
  <c r="N347" i="1"/>
  <c r="O347" i="1" s="1"/>
  <c r="I117" i="1"/>
  <c r="A148" i="1" l="1"/>
  <c r="C148" i="1"/>
  <c r="D148" i="1" s="1"/>
  <c r="P348" i="1"/>
  <c r="H118" i="1"/>
  <c r="G148" i="1" l="1"/>
  <c r="B148" i="1"/>
  <c r="E148" i="1"/>
  <c r="F148" i="1" s="1"/>
  <c r="Q348" i="1"/>
  <c r="N351" i="1" s="1"/>
  <c r="O351" i="1" s="1"/>
  <c r="A149" i="1" l="1"/>
  <c r="C149" i="1"/>
  <c r="D149" i="1" s="1"/>
  <c r="S351" i="1"/>
  <c r="N350" i="1"/>
  <c r="O350" i="1" s="1"/>
  <c r="N352" i="1"/>
  <c r="O352" i="1" s="1"/>
  <c r="I118" i="1"/>
  <c r="E149" i="1" l="1"/>
  <c r="F149" i="1" s="1"/>
  <c r="G149" i="1"/>
  <c r="B149" i="1"/>
  <c r="P351" i="1"/>
  <c r="A150" i="1" l="1"/>
  <c r="C150" i="1"/>
  <c r="D150" i="1" s="1"/>
  <c r="Q351" i="1"/>
  <c r="N354" i="1" s="1"/>
  <c r="O354" i="1" s="1"/>
  <c r="H119" i="1"/>
  <c r="B150" i="1" l="1"/>
  <c r="E150" i="1"/>
  <c r="F150" i="1" s="1"/>
  <c r="G150" i="1"/>
  <c r="S354" i="1"/>
  <c r="N355" i="1"/>
  <c r="O355" i="1" s="1"/>
  <c r="N353" i="1"/>
  <c r="O353" i="1" s="1"/>
  <c r="I119" i="1"/>
  <c r="A151" i="1" l="1"/>
  <c r="C151" i="1"/>
  <c r="D151" i="1" s="1"/>
  <c r="P354" i="1"/>
  <c r="H120" i="1"/>
  <c r="G151" i="1" l="1"/>
  <c r="B151" i="1"/>
  <c r="E151" i="1"/>
  <c r="F151" i="1" s="1"/>
  <c r="Q354" i="1"/>
  <c r="N357" i="1" s="1"/>
  <c r="O357" i="1" s="1"/>
  <c r="I120" i="1"/>
  <c r="A152" i="1" l="1"/>
  <c r="C152" i="1"/>
  <c r="D152" i="1" s="1"/>
  <c r="S357" i="1"/>
  <c r="N356" i="1"/>
  <c r="O356" i="1" s="1"/>
  <c r="N358" i="1"/>
  <c r="O358" i="1" s="1"/>
  <c r="H121" i="1"/>
  <c r="B152" i="1" l="1"/>
  <c r="G152" i="1"/>
  <c r="E152" i="1"/>
  <c r="F152" i="1" s="1"/>
  <c r="P357" i="1"/>
  <c r="Q357" i="1" s="1"/>
  <c r="N360" i="1" s="1"/>
  <c r="O360" i="1" s="1"/>
  <c r="I121" i="1"/>
  <c r="A153" i="1" l="1"/>
  <c r="C153" i="1"/>
  <c r="D153" i="1" s="1"/>
  <c r="S360" i="1"/>
  <c r="N361" i="1"/>
  <c r="O361" i="1" s="1"/>
  <c r="N359" i="1"/>
  <c r="O359" i="1" s="1"/>
  <c r="H122" i="1"/>
  <c r="B153" i="1" l="1"/>
  <c r="G153" i="1"/>
  <c r="E153" i="1"/>
  <c r="F153" i="1" s="1"/>
  <c r="P360" i="1"/>
  <c r="Q360" i="1" s="1"/>
  <c r="N363" i="1" s="1"/>
  <c r="O363" i="1" s="1"/>
  <c r="I122" i="1"/>
  <c r="A154" i="1" l="1"/>
  <c r="C154" i="1"/>
  <c r="D154" i="1" s="1"/>
  <c r="S363" i="1"/>
  <c r="N364" i="1"/>
  <c r="O364" i="1" s="1"/>
  <c r="N362" i="1"/>
  <c r="O362" i="1" s="1"/>
  <c r="H123" i="1"/>
  <c r="B154" i="1" l="1"/>
  <c r="E154" i="1"/>
  <c r="F154" i="1" s="1"/>
  <c r="G154" i="1"/>
  <c r="P363" i="1"/>
  <c r="Q363" i="1" s="1"/>
  <c r="N366" i="1" s="1"/>
  <c r="O366" i="1" s="1"/>
  <c r="I123" i="1"/>
  <c r="A155" i="1" l="1"/>
  <c r="C155" i="1"/>
  <c r="D155" i="1" s="1"/>
  <c r="S366" i="1"/>
  <c r="N365" i="1"/>
  <c r="O365" i="1" s="1"/>
  <c r="N367" i="1"/>
  <c r="O367" i="1" s="1"/>
  <c r="G155" i="1" l="1"/>
  <c r="B155" i="1"/>
  <c r="E155" i="1"/>
  <c r="F155" i="1" s="1"/>
  <c r="P366" i="1"/>
  <c r="H124" i="1"/>
  <c r="C156" i="1" l="1"/>
  <c r="D156" i="1" s="1"/>
  <c r="A156" i="1"/>
  <c r="Q366" i="1"/>
  <c r="N369" i="1" s="1"/>
  <c r="O369" i="1" s="1"/>
  <c r="I124" i="1"/>
  <c r="E156" i="1" l="1"/>
  <c r="F156" i="1" s="1"/>
  <c r="G156" i="1"/>
  <c r="B156" i="1"/>
  <c r="S369" i="1"/>
  <c r="N368" i="1"/>
  <c r="O368" i="1" s="1"/>
  <c r="N370" i="1"/>
  <c r="O370" i="1" s="1"/>
  <c r="H125" i="1"/>
  <c r="A157" i="1" l="1"/>
  <c r="C157" i="1"/>
  <c r="D157" i="1" s="1"/>
  <c r="P369" i="1"/>
  <c r="I125" i="1"/>
  <c r="B157" i="1" l="1"/>
  <c r="E157" i="1"/>
  <c r="F157" i="1" s="1"/>
  <c r="G157" i="1"/>
  <c r="Q369" i="1"/>
  <c r="N372" i="1" s="1"/>
  <c r="O372" i="1" s="1"/>
  <c r="C158" i="1" l="1"/>
  <c r="D158" i="1" s="1"/>
  <c r="A158" i="1"/>
  <c r="S372" i="1"/>
  <c r="N373" i="1"/>
  <c r="O373" i="1" s="1"/>
  <c r="N371" i="1"/>
  <c r="O371" i="1" s="1"/>
  <c r="H126" i="1"/>
  <c r="E158" i="1" l="1"/>
  <c r="F158" i="1" s="1"/>
  <c r="G158" i="1"/>
  <c r="B158" i="1"/>
  <c r="P372" i="1"/>
  <c r="I126" i="1"/>
  <c r="A159" i="1" l="1"/>
  <c r="C159" i="1"/>
  <c r="D159" i="1" s="1"/>
  <c r="Q372" i="1"/>
  <c r="N375" i="1" s="1"/>
  <c r="O375" i="1" s="1"/>
  <c r="H127" i="1"/>
  <c r="B159" i="1" l="1"/>
  <c r="G159" i="1"/>
  <c r="E159" i="1"/>
  <c r="F159" i="1" s="1"/>
  <c r="S375" i="1"/>
  <c r="N376" i="1"/>
  <c r="O376" i="1" s="1"/>
  <c r="N374" i="1"/>
  <c r="O374" i="1" s="1"/>
  <c r="I127" i="1"/>
  <c r="C160" i="1" l="1"/>
  <c r="D160" i="1" s="1"/>
  <c r="A160" i="1"/>
  <c r="P375" i="1"/>
  <c r="Q375" i="1" s="1"/>
  <c r="N378" i="1" s="1"/>
  <c r="O378" i="1" s="1"/>
  <c r="H128" i="1"/>
  <c r="G160" i="1" l="1"/>
  <c r="B160" i="1"/>
  <c r="E160" i="1"/>
  <c r="F160" i="1" s="1"/>
  <c r="S378" i="1"/>
  <c r="N377" i="1"/>
  <c r="O377" i="1" s="1"/>
  <c r="N379" i="1"/>
  <c r="O379" i="1" s="1"/>
  <c r="I128" i="1"/>
  <c r="A161" i="1" l="1"/>
  <c r="C161" i="1"/>
  <c r="D161" i="1" s="1"/>
  <c r="P378" i="1"/>
  <c r="H129" i="1"/>
  <c r="B161" i="1" l="1"/>
  <c r="E161" i="1"/>
  <c r="F161" i="1" s="1"/>
  <c r="G161" i="1"/>
  <c r="Q378" i="1"/>
  <c r="N381" i="1" s="1"/>
  <c r="O381" i="1" s="1"/>
  <c r="I129" i="1"/>
  <c r="A162" i="1" l="1"/>
  <c r="C162" i="1"/>
  <c r="D162" i="1" s="1"/>
  <c r="S381" i="1"/>
  <c r="N382" i="1"/>
  <c r="O382" i="1" s="1"/>
  <c r="N380" i="1"/>
  <c r="O380" i="1" s="1"/>
  <c r="H130" i="1"/>
  <c r="E162" i="1" l="1"/>
  <c r="F162" i="1" s="1"/>
  <c r="G162" i="1"/>
  <c r="B162" i="1"/>
  <c r="P381" i="1"/>
  <c r="I130" i="1"/>
  <c r="C163" i="1" l="1"/>
  <c r="D163" i="1" s="1"/>
  <c r="A163" i="1"/>
  <c r="Q381" i="1"/>
  <c r="N384" i="1" s="1"/>
  <c r="O384" i="1" s="1"/>
  <c r="H131" i="1"/>
  <c r="B163" i="1" l="1"/>
  <c r="E163" i="1"/>
  <c r="F163" i="1" s="1"/>
  <c r="G163" i="1"/>
  <c r="S384" i="1"/>
  <c r="N385" i="1"/>
  <c r="O385" i="1" s="1"/>
  <c r="N383" i="1"/>
  <c r="O383" i="1" s="1"/>
  <c r="I131" i="1"/>
  <c r="C164" i="1" l="1"/>
  <c r="D164" i="1" s="1"/>
  <c r="A164" i="1"/>
  <c r="P384" i="1"/>
  <c r="Q384" i="1" s="1"/>
  <c r="N387" i="1" s="1"/>
  <c r="O387" i="1" s="1"/>
  <c r="H132" i="1"/>
  <c r="B164" i="1" l="1"/>
  <c r="E164" i="1"/>
  <c r="F164" i="1" s="1"/>
  <c r="G164" i="1"/>
  <c r="S387" i="1"/>
  <c r="N386" i="1"/>
  <c r="O386" i="1" s="1"/>
  <c r="N388" i="1"/>
  <c r="O388" i="1" s="1"/>
  <c r="I132" i="1"/>
  <c r="A165" i="1" l="1"/>
  <c r="C165" i="1"/>
  <c r="D165" i="1" s="1"/>
  <c r="P387" i="1"/>
  <c r="Q387" i="1" s="1"/>
  <c r="N390" i="1" s="1"/>
  <c r="O390" i="1" s="1"/>
  <c r="H133" i="1"/>
  <c r="E165" i="1" l="1"/>
  <c r="F165" i="1" s="1"/>
  <c r="G165" i="1"/>
  <c r="B165" i="1"/>
  <c r="S390" i="1"/>
  <c r="N391" i="1"/>
  <c r="O391" i="1" s="1"/>
  <c r="N389" i="1"/>
  <c r="O389" i="1" s="1"/>
  <c r="I133" i="1"/>
  <c r="A166" i="1" l="1"/>
  <c r="C166" i="1"/>
  <c r="D166" i="1" s="1"/>
  <c r="P390" i="1"/>
  <c r="Q390" i="1" s="1"/>
  <c r="N393" i="1" s="1"/>
  <c r="O393" i="1" s="1"/>
  <c r="H134" i="1"/>
  <c r="B166" i="1" l="1"/>
  <c r="E166" i="1"/>
  <c r="F166" i="1" s="1"/>
  <c r="G166" i="1"/>
  <c r="S393" i="1"/>
  <c r="N394" i="1"/>
  <c r="O394" i="1" s="1"/>
  <c r="N392" i="1"/>
  <c r="O392" i="1" s="1"/>
  <c r="I134" i="1"/>
  <c r="A167" i="1" l="1"/>
  <c r="C167" i="1"/>
  <c r="D167" i="1" s="1"/>
  <c r="P393" i="1"/>
  <c r="H135" i="1"/>
  <c r="G167" i="1" l="1"/>
  <c r="B167" i="1"/>
  <c r="E167" i="1"/>
  <c r="F167" i="1" s="1"/>
  <c r="Q393" i="1"/>
  <c r="N396" i="1" s="1"/>
  <c r="O396" i="1" s="1"/>
  <c r="I135" i="1"/>
  <c r="A168" i="1" l="1"/>
  <c r="C168" i="1"/>
  <c r="D168" i="1" s="1"/>
  <c r="S396" i="1"/>
  <c r="N397" i="1"/>
  <c r="O397" i="1" s="1"/>
  <c r="N395" i="1"/>
  <c r="O395" i="1" s="1"/>
  <c r="H136" i="1"/>
  <c r="B168" i="1" l="1"/>
  <c r="G168" i="1"/>
  <c r="E168" i="1"/>
  <c r="F168" i="1" s="1"/>
  <c r="P396" i="1"/>
  <c r="I136" i="1"/>
  <c r="A169" i="1" l="1"/>
  <c r="C169" i="1"/>
  <c r="D169" i="1" s="1"/>
  <c r="Q396" i="1"/>
  <c r="N399" i="1" s="1"/>
  <c r="O399" i="1" s="1"/>
  <c r="H137" i="1"/>
  <c r="E169" i="1" l="1"/>
  <c r="F169" i="1" s="1"/>
  <c r="G169" i="1"/>
  <c r="B169" i="1"/>
  <c r="S399" i="1"/>
  <c r="N398" i="1"/>
  <c r="O398" i="1" s="1"/>
  <c r="N400" i="1"/>
  <c r="O400" i="1" s="1"/>
  <c r="I137" i="1"/>
  <c r="A170" i="1" l="1"/>
  <c r="C170" i="1"/>
  <c r="D170" i="1" s="1"/>
  <c r="P399" i="1"/>
  <c r="Q399" i="1" s="1"/>
  <c r="N402" i="1" s="1"/>
  <c r="O402" i="1" s="1"/>
  <c r="H138" i="1"/>
  <c r="B170" i="1" l="1"/>
  <c r="E170" i="1"/>
  <c r="F170" i="1" s="1"/>
  <c r="G170" i="1"/>
  <c r="S402" i="1"/>
  <c r="N403" i="1"/>
  <c r="O403" i="1" s="1"/>
  <c r="N401" i="1"/>
  <c r="O401" i="1" s="1"/>
  <c r="I138" i="1"/>
  <c r="A171" i="1" l="1"/>
  <c r="C171" i="1"/>
  <c r="D171" i="1" s="1"/>
  <c r="P402" i="1"/>
  <c r="Q402" i="1" s="1"/>
  <c r="N405" i="1" s="1"/>
  <c r="O405" i="1" s="1"/>
  <c r="H139" i="1"/>
  <c r="G171" i="1" l="1"/>
  <c r="B171" i="1"/>
  <c r="E171" i="1"/>
  <c r="F171" i="1" s="1"/>
  <c r="S405" i="1"/>
  <c r="N404" i="1"/>
  <c r="O404" i="1" s="1"/>
  <c r="N406" i="1"/>
  <c r="O406" i="1" s="1"/>
  <c r="I139" i="1"/>
  <c r="C172" i="1" l="1"/>
  <c r="D172" i="1" s="1"/>
  <c r="A172" i="1"/>
  <c r="P405" i="1"/>
  <c r="H140" i="1"/>
  <c r="E172" i="1" l="1"/>
  <c r="F172" i="1" s="1"/>
  <c r="G172" i="1"/>
  <c r="B172" i="1"/>
  <c r="Q405" i="1"/>
  <c r="N408" i="1" s="1"/>
  <c r="O408" i="1" s="1"/>
  <c r="I140" i="1"/>
  <c r="A173" i="1" l="1"/>
  <c r="C173" i="1"/>
  <c r="D173" i="1" s="1"/>
  <c r="S408" i="1"/>
  <c r="N409" i="1"/>
  <c r="O409" i="1" s="1"/>
  <c r="N407" i="1"/>
  <c r="O407" i="1" s="1"/>
  <c r="H141" i="1"/>
  <c r="B173" i="1" l="1"/>
  <c r="E173" i="1"/>
  <c r="F173" i="1" s="1"/>
  <c r="G173" i="1"/>
  <c r="P408" i="1"/>
  <c r="I141" i="1"/>
  <c r="A174" i="1" l="1"/>
  <c r="C174" i="1"/>
  <c r="D174" i="1" s="1"/>
  <c r="Q408" i="1"/>
  <c r="N411" i="1" s="1"/>
  <c r="O411" i="1" s="1"/>
  <c r="H142" i="1"/>
  <c r="E174" i="1" l="1"/>
  <c r="F174" i="1" s="1"/>
  <c r="G174" i="1"/>
  <c r="B174" i="1"/>
  <c r="S411" i="1"/>
  <c r="N412" i="1"/>
  <c r="O412" i="1" s="1"/>
  <c r="N410" i="1"/>
  <c r="O410" i="1" s="1"/>
  <c r="I142" i="1"/>
  <c r="A175" i="1" l="1"/>
  <c r="C175" i="1"/>
  <c r="D175" i="1" s="1"/>
  <c r="P411" i="1"/>
  <c r="Q411" i="1" s="1"/>
  <c r="N414" i="1" s="1"/>
  <c r="O414" i="1" s="1"/>
  <c r="H143" i="1"/>
  <c r="B175" i="1" l="1"/>
  <c r="G175" i="1"/>
  <c r="E175" i="1"/>
  <c r="F175" i="1" s="1"/>
  <c r="S414" i="1"/>
  <c r="N415" i="1"/>
  <c r="O415" i="1" s="1"/>
  <c r="N413" i="1"/>
  <c r="O413" i="1" s="1"/>
  <c r="I143" i="1"/>
  <c r="A176" i="1" l="1"/>
  <c r="C176" i="1"/>
  <c r="D176" i="1" s="1"/>
  <c r="P414" i="1"/>
  <c r="Q414" i="1" s="1"/>
  <c r="N417" i="1" s="1"/>
  <c r="O417" i="1" s="1"/>
  <c r="H144" i="1"/>
  <c r="G176" i="1" l="1"/>
  <c r="B176" i="1"/>
  <c r="E176" i="1"/>
  <c r="F176" i="1" s="1"/>
  <c r="S417" i="1"/>
  <c r="N416" i="1"/>
  <c r="O416" i="1" s="1"/>
  <c r="N418" i="1"/>
  <c r="O418" i="1" s="1"/>
  <c r="I144" i="1"/>
  <c r="C177" i="1" l="1"/>
  <c r="D177" i="1" s="1"/>
  <c r="A177" i="1"/>
  <c r="P417" i="1"/>
  <c r="Q417" i="1" s="1"/>
  <c r="N420" i="1" s="1"/>
  <c r="O420" i="1" s="1"/>
  <c r="H145" i="1"/>
  <c r="B177" i="1" l="1"/>
  <c r="E177" i="1"/>
  <c r="F177" i="1" s="1"/>
  <c r="G177" i="1"/>
  <c r="S420" i="1"/>
  <c r="N419" i="1"/>
  <c r="O419" i="1" s="1"/>
  <c r="N421" i="1"/>
  <c r="O421" i="1" s="1"/>
  <c r="I145" i="1"/>
  <c r="A178" i="1" l="1"/>
  <c r="C178" i="1"/>
  <c r="D178" i="1" s="1"/>
  <c r="P420" i="1"/>
  <c r="H146" i="1"/>
  <c r="E178" i="1" l="1"/>
  <c r="F178" i="1" s="1"/>
  <c r="G178" i="1"/>
  <c r="B178" i="1"/>
  <c r="Q420" i="1"/>
  <c r="N423" i="1" s="1"/>
  <c r="O423" i="1" s="1"/>
  <c r="I146" i="1"/>
  <c r="A179" i="1" l="1"/>
  <c r="C179" i="1"/>
  <c r="D179" i="1" s="1"/>
  <c r="S423" i="1"/>
  <c r="N422" i="1"/>
  <c r="O422" i="1" s="1"/>
  <c r="N424" i="1"/>
  <c r="O424" i="1" s="1"/>
  <c r="H147" i="1"/>
  <c r="B179" i="1" l="1"/>
  <c r="E179" i="1"/>
  <c r="F179" i="1" s="1"/>
  <c r="G179" i="1"/>
  <c r="P423" i="1"/>
  <c r="I147" i="1"/>
  <c r="A180" i="1" l="1"/>
  <c r="C180" i="1"/>
  <c r="D180" i="1" s="1"/>
  <c r="Q423" i="1"/>
  <c r="N426" i="1" s="1"/>
  <c r="O426" i="1" s="1"/>
  <c r="H148" i="1"/>
  <c r="G180" i="1" l="1"/>
  <c r="E180" i="1"/>
  <c r="F180" i="1" s="1"/>
  <c r="B180" i="1"/>
  <c r="S426" i="1"/>
  <c r="N427" i="1"/>
  <c r="O427" i="1" s="1"/>
  <c r="N425" i="1"/>
  <c r="O425" i="1" s="1"/>
  <c r="I148" i="1"/>
  <c r="A181" i="1" l="1"/>
  <c r="C181" i="1"/>
  <c r="D181" i="1" s="1"/>
  <c r="P426" i="1"/>
  <c r="H149" i="1"/>
  <c r="G181" i="1" l="1"/>
  <c r="E181" i="1"/>
  <c r="F181" i="1" s="1"/>
  <c r="B181" i="1"/>
  <c r="Q426" i="1"/>
  <c r="N429" i="1" s="1"/>
  <c r="O429" i="1" s="1"/>
  <c r="I149" i="1"/>
  <c r="A182" i="1" l="1"/>
  <c r="C182" i="1"/>
  <c r="D182" i="1" s="1"/>
  <c r="S429" i="1"/>
  <c r="N430" i="1"/>
  <c r="O430" i="1" s="1"/>
  <c r="N428" i="1"/>
  <c r="O428" i="1" s="1"/>
  <c r="H150" i="1"/>
  <c r="B182" i="1" l="1"/>
  <c r="E182" i="1"/>
  <c r="F182" i="1" s="1"/>
  <c r="G182" i="1"/>
  <c r="P429" i="1"/>
  <c r="I150" i="1"/>
  <c r="C183" i="1" l="1"/>
  <c r="D183" i="1" s="1"/>
  <c r="A183" i="1"/>
  <c r="Q429" i="1"/>
  <c r="N432" i="1" s="1"/>
  <c r="O432" i="1" s="1"/>
  <c r="H151" i="1"/>
  <c r="E183" i="1" l="1"/>
  <c r="F183" i="1" s="1"/>
  <c r="G183" i="1"/>
  <c r="B183" i="1"/>
  <c r="S432" i="1"/>
  <c r="N431" i="1"/>
  <c r="O431" i="1" s="1"/>
  <c r="N433" i="1"/>
  <c r="O433" i="1" s="1"/>
  <c r="I151" i="1"/>
  <c r="A184" i="1" l="1"/>
  <c r="C184" i="1"/>
  <c r="D184" i="1" s="1"/>
  <c r="P432" i="1"/>
  <c r="H152" i="1"/>
  <c r="E184" i="1" l="1"/>
  <c r="F184" i="1" s="1"/>
  <c r="B184" i="1"/>
  <c r="G184" i="1"/>
  <c r="Q432" i="1"/>
  <c r="N435" i="1" s="1"/>
  <c r="O435" i="1" s="1"/>
  <c r="I152" i="1"/>
  <c r="A185" i="1" l="1"/>
  <c r="C185" i="1"/>
  <c r="D185" i="1" s="1"/>
  <c r="S435" i="1"/>
  <c r="N436" i="1"/>
  <c r="O436" i="1" s="1"/>
  <c r="N434" i="1"/>
  <c r="O434" i="1" s="1"/>
  <c r="H153" i="1"/>
  <c r="G185" i="1" l="1"/>
  <c r="E185" i="1"/>
  <c r="F185" i="1" s="1"/>
  <c r="B185" i="1"/>
  <c r="P435" i="1"/>
  <c r="I153" i="1"/>
  <c r="A186" i="1" l="1"/>
  <c r="C186" i="1"/>
  <c r="D186" i="1" s="1"/>
  <c r="Q435" i="1"/>
  <c r="N438" i="1" s="1"/>
  <c r="O438" i="1" s="1"/>
  <c r="H154" i="1"/>
  <c r="B186" i="1" l="1"/>
  <c r="E186" i="1"/>
  <c r="F186" i="1" s="1"/>
  <c r="G186" i="1"/>
  <c r="S438" i="1"/>
  <c r="N439" i="1"/>
  <c r="O439" i="1" s="1"/>
  <c r="N437" i="1"/>
  <c r="O437" i="1" s="1"/>
  <c r="I154" i="1"/>
  <c r="A187" i="1" l="1"/>
  <c r="C187" i="1"/>
  <c r="D187" i="1" s="1"/>
  <c r="P438" i="1"/>
  <c r="H155" i="1"/>
  <c r="B187" i="1" l="1"/>
  <c r="E187" i="1"/>
  <c r="F187" i="1" s="1"/>
  <c r="G187" i="1"/>
  <c r="Q438" i="1"/>
  <c r="N441" i="1" s="1"/>
  <c r="O441" i="1" s="1"/>
  <c r="I155" i="1"/>
  <c r="C188" i="1" l="1"/>
  <c r="D188" i="1" s="1"/>
  <c r="A188" i="1"/>
  <c r="S441" i="1"/>
  <c r="N440" i="1"/>
  <c r="O440" i="1" s="1"/>
  <c r="N442" i="1"/>
  <c r="O442" i="1" s="1"/>
  <c r="H156" i="1"/>
  <c r="E188" i="1" l="1"/>
  <c r="F188" i="1" s="1"/>
  <c r="G188" i="1"/>
  <c r="B188" i="1"/>
  <c r="P441" i="1"/>
  <c r="Q441" i="1" s="1"/>
  <c r="N444" i="1" s="1"/>
  <c r="O444" i="1" s="1"/>
  <c r="I156" i="1"/>
  <c r="C189" i="1" l="1"/>
  <c r="D189" i="1" s="1"/>
  <c r="A189" i="1"/>
  <c r="S444" i="1"/>
  <c r="N445" i="1"/>
  <c r="O445" i="1" s="1"/>
  <c r="N443" i="1"/>
  <c r="O443" i="1" s="1"/>
  <c r="H157" i="1"/>
  <c r="B189" i="1" l="1"/>
  <c r="G189" i="1"/>
  <c r="E189" i="1"/>
  <c r="F189" i="1" s="1"/>
  <c r="P444" i="1"/>
  <c r="I157" i="1"/>
  <c r="A190" i="1" l="1"/>
  <c r="C190" i="1"/>
  <c r="D190" i="1" s="1"/>
  <c r="Q444" i="1"/>
  <c r="N447" i="1" s="1"/>
  <c r="O447" i="1" s="1"/>
  <c r="H158" i="1"/>
  <c r="E190" i="1" l="1"/>
  <c r="F190" i="1" s="1"/>
  <c r="G190" i="1"/>
  <c r="B190" i="1"/>
  <c r="S447" i="1"/>
  <c r="N446" i="1"/>
  <c r="O446" i="1" s="1"/>
  <c r="N448" i="1"/>
  <c r="O448" i="1" s="1"/>
  <c r="I158" i="1"/>
  <c r="A191" i="1" l="1"/>
  <c r="C191" i="1"/>
  <c r="D191" i="1" s="1"/>
  <c r="P447" i="1"/>
  <c r="H159" i="1"/>
  <c r="G191" i="1" l="1"/>
  <c r="E191" i="1"/>
  <c r="F191" i="1" s="1"/>
  <c r="B191" i="1"/>
  <c r="Q447" i="1"/>
  <c r="N450" i="1" s="1"/>
  <c r="O450" i="1" s="1"/>
  <c r="I159" i="1"/>
  <c r="A192" i="1" l="1"/>
  <c r="C192" i="1"/>
  <c r="D192" i="1" s="1"/>
  <c r="S450" i="1"/>
  <c r="N449" i="1"/>
  <c r="O449" i="1" s="1"/>
  <c r="N451" i="1"/>
  <c r="O451" i="1" s="1"/>
  <c r="H160" i="1"/>
  <c r="G192" i="1" l="1"/>
  <c r="B192" i="1"/>
  <c r="E192" i="1"/>
  <c r="F192" i="1" s="1"/>
  <c r="P450" i="1"/>
  <c r="Q450" i="1" s="1"/>
  <c r="N453" i="1" s="1"/>
  <c r="O453" i="1" s="1"/>
  <c r="I160" i="1"/>
  <c r="C193" i="1" l="1"/>
  <c r="D193" i="1" s="1"/>
  <c r="A193" i="1"/>
  <c r="S453" i="1"/>
  <c r="N454" i="1"/>
  <c r="O454" i="1" s="1"/>
  <c r="N452" i="1"/>
  <c r="O452" i="1" s="1"/>
  <c r="H161" i="1"/>
  <c r="B193" i="1" l="1"/>
  <c r="G193" i="1"/>
  <c r="E193" i="1"/>
  <c r="F193" i="1" s="1"/>
  <c r="P453" i="1"/>
  <c r="Q453" i="1" s="1"/>
  <c r="N456" i="1" s="1"/>
  <c r="O456" i="1" s="1"/>
  <c r="I161" i="1"/>
  <c r="A194" i="1" l="1"/>
  <c r="C194" i="1"/>
  <c r="D194" i="1" s="1"/>
  <c r="S456" i="1"/>
  <c r="N455" i="1"/>
  <c r="O455" i="1" s="1"/>
  <c r="N457" i="1"/>
  <c r="O457" i="1" s="1"/>
  <c r="H162" i="1"/>
  <c r="B194" i="1" l="1"/>
  <c r="E194" i="1"/>
  <c r="F194" i="1" s="1"/>
  <c r="G194" i="1"/>
  <c r="P456" i="1"/>
  <c r="I162" i="1"/>
  <c r="A195" i="1" l="1"/>
  <c r="C195" i="1"/>
  <c r="D195" i="1" s="1"/>
  <c r="Q456" i="1"/>
  <c r="N459" i="1" s="1"/>
  <c r="O459" i="1" s="1"/>
  <c r="H163" i="1"/>
  <c r="B195" i="1" l="1"/>
  <c r="G195" i="1"/>
  <c r="E195" i="1"/>
  <c r="F195" i="1" s="1"/>
  <c r="S459" i="1"/>
  <c r="N458" i="1"/>
  <c r="O458" i="1" s="1"/>
  <c r="N460" i="1"/>
  <c r="O460" i="1" s="1"/>
  <c r="I163" i="1"/>
  <c r="C196" i="1" l="1"/>
  <c r="D196" i="1" s="1"/>
  <c r="A196" i="1"/>
  <c r="P459" i="1"/>
  <c r="H164" i="1"/>
  <c r="E196" i="1" l="1"/>
  <c r="F196" i="1" s="1"/>
  <c r="G196" i="1"/>
  <c r="B196" i="1"/>
  <c r="Q459" i="1"/>
  <c r="N462" i="1" s="1"/>
  <c r="O462" i="1" s="1"/>
  <c r="I164" i="1"/>
  <c r="A197" i="1" l="1"/>
  <c r="C197" i="1"/>
  <c r="D197" i="1" s="1"/>
  <c r="S462" i="1"/>
  <c r="N461" i="1"/>
  <c r="O461" i="1" s="1"/>
  <c r="N463" i="1"/>
  <c r="O463" i="1" s="1"/>
  <c r="H165" i="1"/>
  <c r="B197" i="1" l="1"/>
  <c r="E197" i="1"/>
  <c r="F197" i="1" s="1"/>
  <c r="G197" i="1"/>
  <c r="P462" i="1"/>
  <c r="I165" i="1"/>
  <c r="A198" i="1" l="1"/>
  <c r="C198" i="1"/>
  <c r="D198" i="1" s="1"/>
  <c r="Q462" i="1"/>
  <c r="N465" i="1" s="1"/>
  <c r="O465" i="1" s="1"/>
  <c r="H166" i="1"/>
  <c r="G198" i="1" l="1"/>
  <c r="B198" i="1"/>
  <c r="E198" i="1"/>
  <c r="F198" i="1" s="1"/>
  <c r="S465" i="1"/>
  <c r="N464" i="1"/>
  <c r="O464" i="1" s="1"/>
  <c r="N466" i="1"/>
  <c r="O466" i="1" s="1"/>
  <c r="I166" i="1"/>
  <c r="A199" i="1" l="1"/>
  <c r="C199" i="1"/>
  <c r="D199" i="1" s="1"/>
  <c r="P465" i="1"/>
  <c r="H167" i="1"/>
  <c r="B199" i="1" l="1"/>
  <c r="E199" i="1"/>
  <c r="F199" i="1" s="1"/>
  <c r="G199" i="1"/>
  <c r="Q465" i="1"/>
  <c r="N468" i="1" s="1"/>
  <c r="O468" i="1" s="1"/>
  <c r="I167" i="1"/>
  <c r="A200" i="1" l="1"/>
  <c r="C200" i="1"/>
  <c r="D200" i="1" s="1"/>
  <c r="S468" i="1"/>
  <c r="N469" i="1"/>
  <c r="O469" i="1" s="1"/>
  <c r="N467" i="1"/>
  <c r="O467" i="1" s="1"/>
  <c r="H168" i="1"/>
  <c r="B200" i="1" l="1"/>
  <c r="E200" i="1"/>
  <c r="F200" i="1" s="1"/>
  <c r="G200" i="1"/>
  <c r="P468" i="1"/>
  <c r="Q468" i="1" s="1"/>
  <c r="N471" i="1" s="1"/>
  <c r="O471" i="1" s="1"/>
  <c r="I168" i="1"/>
  <c r="A201" i="1" l="1"/>
  <c r="C201" i="1"/>
  <c r="D201" i="1" s="1"/>
  <c r="S471" i="1"/>
  <c r="N472" i="1"/>
  <c r="O472" i="1" s="1"/>
  <c r="N470" i="1"/>
  <c r="O470" i="1" s="1"/>
  <c r="H169" i="1"/>
  <c r="B201" i="1" l="1"/>
  <c r="E201" i="1"/>
  <c r="F201" i="1" s="1"/>
  <c r="G201" i="1"/>
  <c r="P471" i="1"/>
  <c r="I169" i="1"/>
  <c r="A202" i="1" l="1"/>
  <c r="C202" i="1"/>
  <c r="D202" i="1" s="1"/>
  <c r="Q471" i="1"/>
  <c r="N474" i="1" s="1"/>
  <c r="O474" i="1" s="1"/>
  <c r="H170" i="1"/>
  <c r="B202" i="1" l="1"/>
  <c r="E202" i="1"/>
  <c r="F202" i="1" s="1"/>
  <c r="G202" i="1"/>
  <c r="S474" i="1"/>
  <c r="N475" i="1"/>
  <c r="O475" i="1" s="1"/>
  <c r="N473" i="1"/>
  <c r="O473" i="1" s="1"/>
  <c r="I170" i="1"/>
  <c r="A203" i="1" l="1"/>
  <c r="C203" i="1"/>
  <c r="D203" i="1" s="1"/>
  <c r="P474" i="1"/>
  <c r="Q474" i="1" s="1"/>
  <c r="N477" i="1" s="1"/>
  <c r="O477" i="1" s="1"/>
  <c r="H171" i="1"/>
  <c r="B203" i="1" l="1"/>
  <c r="E203" i="1"/>
  <c r="F203" i="1" s="1"/>
  <c r="G203" i="1"/>
  <c r="S477" i="1"/>
  <c r="N478" i="1"/>
  <c r="O478" i="1" s="1"/>
  <c r="N476" i="1"/>
  <c r="O476" i="1" s="1"/>
  <c r="I171" i="1"/>
  <c r="C204" i="1" l="1"/>
  <c r="D204" i="1" s="1"/>
  <c r="A204" i="1"/>
  <c r="P477" i="1"/>
  <c r="Q477" i="1" s="1"/>
  <c r="N480" i="1" s="1"/>
  <c r="O480" i="1" s="1"/>
  <c r="H172" i="1"/>
  <c r="E204" i="1" l="1"/>
  <c r="F204" i="1" s="1"/>
  <c r="G204" i="1"/>
  <c r="B204" i="1"/>
  <c r="S480" i="1"/>
  <c r="N481" i="1"/>
  <c r="O481" i="1" s="1"/>
  <c r="N479" i="1"/>
  <c r="O479" i="1" s="1"/>
  <c r="I172" i="1"/>
  <c r="A205" i="1" l="1"/>
  <c r="C205" i="1"/>
  <c r="D205" i="1" s="1"/>
  <c r="P480" i="1"/>
  <c r="Q480" i="1" s="1"/>
  <c r="N483" i="1" s="1"/>
  <c r="O483" i="1" s="1"/>
  <c r="H173" i="1"/>
  <c r="E205" i="1" l="1"/>
  <c r="F205" i="1" s="1"/>
  <c r="G205" i="1"/>
  <c r="B205" i="1"/>
  <c r="S483" i="1"/>
  <c r="N482" i="1"/>
  <c r="O482" i="1" s="1"/>
  <c r="N484" i="1"/>
  <c r="O484" i="1" s="1"/>
  <c r="I173" i="1"/>
  <c r="A206" i="1" l="1"/>
  <c r="C206" i="1"/>
  <c r="D206" i="1" s="1"/>
  <c r="P483" i="1"/>
  <c r="Q483" i="1" s="1"/>
  <c r="N486" i="1" s="1"/>
  <c r="O486" i="1" s="1"/>
  <c r="H174" i="1"/>
  <c r="G206" i="1" l="1"/>
  <c r="B206" i="1"/>
  <c r="E206" i="1"/>
  <c r="F206" i="1" s="1"/>
  <c r="S486" i="1"/>
  <c r="N487" i="1"/>
  <c r="O487" i="1" s="1"/>
  <c r="N485" i="1"/>
  <c r="O485" i="1" s="1"/>
  <c r="I174" i="1"/>
  <c r="C207" i="1" l="1"/>
  <c r="D207" i="1" s="1"/>
  <c r="A207" i="1"/>
  <c r="P486" i="1"/>
  <c r="Q486" i="1" s="1"/>
  <c r="N489" i="1" s="1"/>
  <c r="O489" i="1" s="1"/>
  <c r="H175" i="1"/>
  <c r="B207" i="1" l="1"/>
  <c r="G207" i="1"/>
  <c r="E207" i="1"/>
  <c r="F207" i="1" s="1"/>
  <c r="S489" i="1"/>
  <c r="N488" i="1"/>
  <c r="O488" i="1" s="1"/>
  <c r="N490" i="1"/>
  <c r="O490" i="1" s="1"/>
  <c r="I175" i="1"/>
  <c r="A208" i="1" l="1"/>
  <c r="C208" i="1"/>
  <c r="D208" i="1" s="1"/>
  <c r="P489" i="1"/>
  <c r="Q489" i="1" s="1"/>
  <c r="N492" i="1" s="1"/>
  <c r="O492" i="1" s="1"/>
  <c r="H176" i="1"/>
  <c r="G208" i="1" l="1"/>
  <c r="E208" i="1"/>
  <c r="F208" i="1" s="1"/>
  <c r="B208" i="1"/>
  <c r="S492" i="1"/>
  <c r="N493" i="1"/>
  <c r="O493" i="1" s="1"/>
  <c r="N491" i="1"/>
  <c r="O491" i="1" s="1"/>
  <c r="I176" i="1"/>
  <c r="C209" i="1" l="1"/>
  <c r="D209" i="1" s="1"/>
  <c r="A209" i="1"/>
  <c r="P492" i="1"/>
  <c r="H177" i="1"/>
  <c r="B209" i="1" l="1"/>
  <c r="E209" i="1"/>
  <c r="F209" i="1" s="1"/>
  <c r="G209" i="1"/>
  <c r="Q492" i="1"/>
  <c r="N495" i="1" s="1"/>
  <c r="O495" i="1" s="1"/>
  <c r="I177" i="1"/>
  <c r="A210" i="1" l="1"/>
  <c r="C210" i="1"/>
  <c r="D210" i="1" s="1"/>
  <c r="S495" i="1"/>
  <c r="N494" i="1"/>
  <c r="O494" i="1" s="1"/>
  <c r="N496" i="1"/>
  <c r="O496" i="1" s="1"/>
  <c r="H178" i="1"/>
  <c r="B210" i="1" l="1"/>
  <c r="E210" i="1"/>
  <c r="F210" i="1" s="1"/>
  <c r="G210" i="1"/>
  <c r="P495" i="1"/>
  <c r="Q495" i="1" s="1"/>
  <c r="N498" i="1" s="1"/>
  <c r="O498" i="1" s="1"/>
  <c r="I178" i="1"/>
  <c r="A211" i="1" l="1"/>
  <c r="C211" i="1"/>
  <c r="D211" i="1" s="1"/>
  <c r="S498" i="1"/>
  <c r="N499" i="1"/>
  <c r="O499" i="1" s="1"/>
  <c r="N497" i="1"/>
  <c r="O497" i="1" s="1"/>
  <c r="H179" i="1"/>
  <c r="G211" i="1" l="1"/>
  <c r="E211" i="1"/>
  <c r="F211" i="1" s="1"/>
  <c r="B211" i="1"/>
  <c r="I3" i="1"/>
  <c r="P498" i="1"/>
  <c r="Q498" i="1" s="1"/>
  <c r="I179" i="1"/>
  <c r="A212" i="1" l="1"/>
  <c r="C212" i="1"/>
  <c r="D212" i="1" s="1"/>
  <c r="H180" i="1"/>
  <c r="E212" i="1" l="1"/>
  <c r="F212" i="1" s="1"/>
  <c r="B212" i="1"/>
  <c r="G212" i="1"/>
  <c r="I180" i="1"/>
  <c r="C213" i="1" l="1"/>
  <c r="D213" i="1" s="1"/>
  <c r="A213" i="1"/>
  <c r="H181" i="1"/>
  <c r="E213" i="1" l="1"/>
  <c r="F213" i="1" s="1"/>
  <c r="G213" i="1"/>
  <c r="B213" i="1"/>
  <c r="I181" i="1"/>
  <c r="A214" i="1" l="1"/>
  <c r="C214" i="1"/>
  <c r="D214" i="1" s="1"/>
  <c r="H182" i="1"/>
  <c r="B214" i="1" l="1"/>
  <c r="E214" i="1"/>
  <c r="F214" i="1" s="1"/>
  <c r="G214" i="1"/>
  <c r="I182" i="1"/>
  <c r="A215" i="1" l="1"/>
  <c r="C215" i="1"/>
  <c r="D215" i="1" s="1"/>
  <c r="H183" i="1"/>
  <c r="B215" i="1" l="1"/>
  <c r="E215" i="1"/>
  <c r="F215" i="1" s="1"/>
  <c r="G215" i="1"/>
  <c r="I183" i="1"/>
  <c r="A216" i="1" l="1"/>
  <c r="C216" i="1"/>
  <c r="D216" i="1" s="1"/>
  <c r="H184" i="1"/>
  <c r="G216" i="1" l="1"/>
  <c r="B216" i="1"/>
  <c r="E216" i="1"/>
  <c r="F216" i="1" s="1"/>
  <c r="I184" i="1"/>
  <c r="C217" i="1" l="1"/>
  <c r="D217" i="1" s="1"/>
  <c r="A217" i="1"/>
  <c r="H185" i="1"/>
  <c r="G217" i="1" l="1"/>
  <c r="B217" i="1"/>
  <c r="E217" i="1"/>
  <c r="F217" i="1" s="1"/>
  <c r="I185" i="1"/>
  <c r="C218" i="1" l="1"/>
  <c r="D218" i="1" s="1"/>
  <c r="A218" i="1"/>
  <c r="H186" i="1"/>
  <c r="E218" i="1" l="1"/>
  <c r="F218" i="1" s="1"/>
  <c r="B218" i="1"/>
  <c r="G218" i="1"/>
  <c r="I186" i="1"/>
  <c r="A219" i="1" l="1"/>
  <c r="C219" i="1"/>
  <c r="D219" i="1" s="1"/>
  <c r="H187" i="1"/>
  <c r="B219" i="1" l="1"/>
  <c r="E219" i="1"/>
  <c r="F219" i="1" s="1"/>
  <c r="G219" i="1"/>
  <c r="I187" i="1"/>
  <c r="A220" i="1" l="1"/>
  <c r="C220" i="1"/>
  <c r="D220" i="1" s="1"/>
  <c r="H188" i="1"/>
  <c r="E220" i="1" l="1"/>
  <c r="F220" i="1" s="1"/>
  <c r="G220" i="1"/>
  <c r="B220" i="1"/>
  <c r="I188" i="1"/>
  <c r="A221" i="1" l="1"/>
  <c r="C221" i="1"/>
  <c r="D221" i="1" s="1"/>
  <c r="H189" i="1"/>
  <c r="B221" i="1" l="1"/>
  <c r="G221" i="1"/>
  <c r="E221" i="1"/>
  <c r="F221" i="1" s="1"/>
  <c r="I189" i="1"/>
  <c r="A222" i="1" l="1"/>
  <c r="C222" i="1"/>
  <c r="D222" i="1" s="1"/>
  <c r="H190" i="1"/>
  <c r="G222" i="1" l="1"/>
  <c r="B222" i="1"/>
  <c r="E222" i="1"/>
  <c r="F222" i="1" s="1"/>
  <c r="I190" i="1"/>
  <c r="C223" i="1" l="1"/>
  <c r="D223" i="1" s="1"/>
  <c r="A223" i="1"/>
  <c r="H191" i="1"/>
  <c r="B223" i="1" l="1"/>
  <c r="E223" i="1"/>
  <c r="F223" i="1" s="1"/>
  <c r="G223" i="1"/>
  <c r="I191" i="1"/>
  <c r="C224" i="1" l="1"/>
  <c r="D224" i="1" s="1"/>
  <c r="A224" i="1"/>
  <c r="H192" i="1"/>
  <c r="G224" i="1" l="1"/>
  <c r="B224" i="1"/>
  <c r="E224" i="1"/>
  <c r="F224" i="1" s="1"/>
  <c r="I192" i="1"/>
  <c r="C225" i="1" l="1"/>
  <c r="D225" i="1" s="1"/>
  <c r="A225" i="1"/>
  <c r="H193" i="1"/>
  <c r="B225" i="1" l="1"/>
  <c r="E225" i="1"/>
  <c r="F225" i="1" s="1"/>
  <c r="G225" i="1"/>
  <c r="I193" i="1"/>
  <c r="A226" i="1" l="1"/>
  <c r="C226" i="1"/>
  <c r="D226" i="1" s="1"/>
  <c r="H194" i="1"/>
  <c r="E226" i="1" l="1"/>
  <c r="F226" i="1" s="1"/>
  <c r="B226" i="1"/>
  <c r="G226" i="1"/>
  <c r="I194" i="1"/>
  <c r="C227" i="1" l="1"/>
  <c r="D227" i="1" s="1"/>
  <c r="A227" i="1"/>
  <c r="H195" i="1"/>
  <c r="G227" i="1" l="1"/>
  <c r="E227" i="1"/>
  <c r="F227" i="1" s="1"/>
  <c r="B227" i="1"/>
  <c r="I195" i="1"/>
  <c r="A228" i="1" l="1"/>
  <c r="C228" i="1"/>
  <c r="D228" i="1" s="1"/>
  <c r="H196" i="1"/>
  <c r="E228" i="1" l="1"/>
  <c r="F228" i="1" s="1"/>
  <c r="B228" i="1"/>
  <c r="G228" i="1"/>
  <c r="I196" i="1"/>
  <c r="A229" i="1" l="1"/>
  <c r="C229" i="1"/>
  <c r="D229" i="1" s="1"/>
  <c r="H197" i="1"/>
  <c r="B229" i="1" l="1"/>
  <c r="G229" i="1"/>
  <c r="E229" i="1"/>
  <c r="F229" i="1" s="1"/>
  <c r="I197" i="1"/>
  <c r="A230" i="1" l="1"/>
  <c r="C230" i="1"/>
  <c r="D230" i="1" s="1"/>
  <c r="H198" i="1"/>
  <c r="B230" i="1" l="1"/>
  <c r="E230" i="1"/>
  <c r="F230" i="1" s="1"/>
  <c r="G230" i="1"/>
  <c r="I198" i="1"/>
  <c r="C231" i="1" l="1"/>
  <c r="D231" i="1" s="1"/>
  <c r="A231" i="1"/>
  <c r="H199" i="1"/>
  <c r="G231" i="1" l="1"/>
  <c r="B231" i="1"/>
  <c r="E231" i="1"/>
  <c r="F231" i="1" s="1"/>
  <c r="I199" i="1"/>
  <c r="A232" i="1" l="1"/>
  <c r="C232" i="1"/>
  <c r="D232" i="1" s="1"/>
  <c r="H200" i="1"/>
  <c r="B232" i="1" l="1"/>
  <c r="E232" i="1"/>
  <c r="F232" i="1" s="1"/>
  <c r="G232" i="1"/>
  <c r="I200" i="1"/>
  <c r="A233" i="1" l="1"/>
  <c r="C233" i="1"/>
  <c r="D233" i="1" s="1"/>
  <c r="H201" i="1"/>
  <c r="E233" i="1" l="1"/>
  <c r="F233" i="1" s="1"/>
  <c r="G233" i="1"/>
  <c r="B233" i="1"/>
  <c r="I201" i="1"/>
  <c r="C234" i="1" l="1"/>
  <c r="D234" i="1" s="1"/>
  <c r="A234" i="1"/>
  <c r="H202" i="1"/>
  <c r="E234" i="1" l="1"/>
  <c r="F234" i="1" s="1"/>
  <c r="B234" i="1"/>
  <c r="G234" i="1"/>
  <c r="I202" i="1"/>
  <c r="A235" i="1" l="1"/>
  <c r="C235" i="1"/>
  <c r="D235" i="1" s="1"/>
  <c r="H203" i="1"/>
  <c r="B235" i="1" l="1"/>
  <c r="E235" i="1"/>
  <c r="F235" i="1" s="1"/>
  <c r="G235" i="1"/>
  <c r="I203" i="1"/>
  <c r="A236" i="1" l="1"/>
  <c r="C236" i="1"/>
  <c r="D236" i="1" s="1"/>
  <c r="H204" i="1"/>
  <c r="E236" i="1" l="1"/>
  <c r="F236" i="1" s="1"/>
  <c r="G236" i="1"/>
  <c r="B236" i="1"/>
  <c r="I204" i="1"/>
  <c r="A237" i="1" l="1"/>
  <c r="C237" i="1"/>
  <c r="D237" i="1" s="1"/>
  <c r="H205" i="1"/>
  <c r="B237" i="1" l="1"/>
  <c r="E237" i="1"/>
  <c r="F237" i="1" s="1"/>
  <c r="G237" i="1"/>
  <c r="I205" i="1"/>
  <c r="C238" i="1" l="1"/>
  <c r="D238" i="1" s="1"/>
  <c r="A238" i="1"/>
  <c r="H206" i="1"/>
  <c r="G238" i="1" l="1"/>
  <c r="B238" i="1"/>
  <c r="E238" i="1"/>
  <c r="F238" i="1" s="1"/>
  <c r="I206" i="1"/>
  <c r="C239" i="1" l="1"/>
  <c r="D239" i="1" s="1"/>
  <c r="A239" i="1"/>
  <c r="H207" i="1"/>
  <c r="B239" i="1" l="1"/>
  <c r="G239" i="1"/>
  <c r="E239" i="1"/>
  <c r="F239" i="1" s="1"/>
  <c r="I207" i="1"/>
  <c r="A240" i="1" l="1"/>
  <c r="C240" i="1"/>
  <c r="D240" i="1" s="1"/>
  <c r="H208" i="1"/>
  <c r="E240" i="1" l="1"/>
  <c r="F240" i="1" s="1"/>
  <c r="B240" i="1"/>
  <c r="G240" i="1"/>
  <c r="I208" i="1"/>
  <c r="A241" i="1" l="1"/>
  <c r="C241" i="1"/>
  <c r="D241" i="1" s="1"/>
  <c r="H209" i="1"/>
  <c r="B241" i="1" l="1"/>
  <c r="E241" i="1"/>
  <c r="F241" i="1" s="1"/>
  <c r="G241" i="1"/>
  <c r="I209" i="1"/>
  <c r="A242" i="1" l="1"/>
  <c r="C242" i="1"/>
  <c r="D242" i="1" s="1"/>
  <c r="H210" i="1"/>
  <c r="E242" i="1" l="1"/>
  <c r="F242" i="1" s="1"/>
  <c r="B242" i="1"/>
  <c r="G242" i="1"/>
  <c r="I210" i="1"/>
  <c r="A243" i="1" l="1"/>
  <c r="C243" i="1"/>
  <c r="D243" i="1" s="1"/>
  <c r="H211" i="1"/>
  <c r="G243" i="1" l="1"/>
  <c r="B243" i="1"/>
  <c r="E243" i="1"/>
  <c r="F243" i="1" s="1"/>
  <c r="I211" i="1"/>
  <c r="A244" i="1" l="1"/>
  <c r="C244" i="1"/>
  <c r="D244" i="1" s="1"/>
  <c r="H212" i="1"/>
  <c r="B244" i="1" l="1"/>
  <c r="E244" i="1"/>
  <c r="F244" i="1" s="1"/>
  <c r="G244" i="1"/>
  <c r="I212" i="1"/>
  <c r="C245" i="1" l="1"/>
  <c r="D245" i="1" s="1"/>
  <c r="A245" i="1"/>
  <c r="H213" i="1"/>
  <c r="G245" i="1" l="1"/>
  <c r="E245" i="1"/>
  <c r="F245" i="1" s="1"/>
  <c r="B245" i="1"/>
  <c r="I213" i="1"/>
  <c r="A246" i="1" l="1"/>
  <c r="C246" i="1"/>
  <c r="D246" i="1" s="1"/>
  <c r="H214" i="1"/>
  <c r="B246" i="1" l="1"/>
  <c r="E246" i="1"/>
  <c r="F246" i="1" s="1"/>
  <c r="G246" i="1"/>
  <c r="I214" i="1"/>
  <c r="A247" i="1" l="1"/>
  <c r="C247" i="1"/>
  <c r="D247" i="1" s="1"/>
  <c r="H215" i="1"/>
  <c r="B247" i="1" l="1"/>
  <c r="G247" i="1"/>
  <c r="E247" i="1"/>
  <c r="F247" i="1" s="1"/>
  <c r="I215" i="1"/>
  <c r="A248" i="1" l="1"/>
  <c r="C248" i="1"/>
  <c r="D248" i="1" s="1"/>
  <c r="H216" i="1"/>
  <c r="B248" i="1" l="1"/>
  <c r="E248" i="1"/>
  <c r="F248" i="1" s="1"/>
  <c r="G248" i="1"/>
  <c r="I216" i="1"/>
  <c r="A249" i="1" l="1"/>
  <c r="C249" i="1"/>
  <c r="D249" i="1" s="1"/>
  <c r="H217" i="1"/>
  <c r="B249" i="1" l="1"/>
  <c r="E249" i="1"/>
  <c r="F249" i="1" s="1"/>
  <c r="G249" i="1"/>
  <c r="I217" i="1"/>
  <c r="C250" i="1" l="1"/>
  <c r="D250" i="1" s="1"/>
  <c r="A250" i="1"/>
  <c r="H218" i="1"/>
  <c r="E250" i="1" l="1"/>
  <c r="F250" i="1" s="1"/>
  <c r="B250" i="1"/>
  <c r="G250" i="1"/>
  <c r="I218" i="1"/>
  <c r="C251" i="1" l="1"/>
  <c r="D251" i="1" s="1"/>
  <c r="A251" i="1"/>
  <c r="H219" i="1"/>
  <c r="B251" i="1" l="1"/>
  <c r="E251" i="1"/>
  <c r="F251" i="1" s="1"/>
  <c r="G251" i="1"/>
  <c r="I219" i="1"/>
  <c r="A252" i="1" l="1"/>
  <c r="C252" i="1"/>
  <c r="D252" i="1" s="1"/>
  <c r="H220" i="1"/>
  <c r="E252" i="1" l="1"/>
  <c r="F252" i="1" s="1"/>
  <c r="G252" i="1"/>
  <c r="B252" i="1"/>
  <c r="I220" i="1"/>
  <c r="A253" i="1" l="1"/>
  <c r="C253" i="1"/>
  <c r="D253" i="1" s="1"/>
  <c r="H221" i="1"/>
  <c r="G253" i="1" l="1"/>
  <c r="E253" i="1"/>
  <c r="F253" i="1" s="1"/>
  <c r="B253" i="1"/>
  <c r="I221" i="1"/>
  <c r="A254" i="1" l="1"/>
  <c r="C254" i="1"/>
  <c r="D254" i="1" s="1"/>
  <c r="H222" i="1"/>
  <c r="G254" i="1" l="1"/>
  <c r="E254" i="1"/>
  <c r="F254" i="1" s="1"/>
  <c r="B254" i="1"/>
  <c r="I222" i="1"/>
  <c r="C255" i="1" l="1"/>
  <c r="D255" i="1" s="1"/>
  <c r="A255" i="1"/>
  <c r="H223" i="1"/>
  <c r="B255" i="1" l="1"/>
  <c r="E255" i="1"/>
  <c r="F255" i="1" s="1"/>
  <c r="G255" i="1"/>
  <c r="I223" i="1"/>
  <c r="A256" i="1" l="1"/>
  <c r="C256" i="1"/>
  <c r="D256" i="1" s="1"/>
  <c r="H224" i="1"/>
  <c r="E256" i="1" l="1"/>
  <c r="F256" i="1" s="1"/>
  <c r="B256" i="1"/>
  <c r="G256" i="1"/>
  <c r="I224" i="1"/>
  <c r="A257" i="1" l="1"/>
  <c r="C257" i="1"/>
  <c r="D257" i="1" s="1"/>
  <c r="H225" i="1"/>
  <c r="B257" i="1" l="1"/>
  <c r="E257" i="1"/>
  <c r="F257" i="1" s="1"/>
  <c r="G257" i="1"/>
  <c r="I225" i="1"/>
  <c r="A258" i="1" l="1"/>
  <c r="C258" i="1"/>
  <c r="D258" i="1" s="1"/>
  <c r="H226" i="1"/>
  <c r="E258" i="1" l="1"/>
  <c r="F258" i="1" s="1"/>
  <c r="G258" i="1"/>
  <c r="B258" i="1"/>
  <c r="I226" i="1"/>
  <c r="C259" i="1" l="1"/>
  <c r="D259" i="1" s="1"/>
  <c r="A259" i="1"/>
  <c r="H227" i="1"/>
  <c r="G259" i="1" l="1"/>
  <c r="E259" i="1"/>
  <c r="F259" i="1" s="1"/>
  <c r="B259" i="1"/>
  <c r="I227" i="1"/>
  <c r="C260" i="1" l="1"/>
  <c r="D260" i="1" s="1"/>
  <c r="A260" i="1"/>
  <c r="H228" i="1"/>
  <c r="B260" i="1" l="1"/>
  <c r="E260" i="1"/>
  <c r="F260" i="1" s="1"/>
  <c r="G260" i="1"/>
  <c r="I228" i="1"/>
  <c r="A261" i="1" l="1"/>
  <c r="C261" i="1"/>
  <c r="D261" i="1" s="1"/>
  <c r="H229" i="1"/>
  <c r="B261" i="1" l="1"/>
  <c r="E261" i="1"/>
  <c r="F261" i="1" s="1"/>
  <c r="G261" i="1"/>
  <c r="I229" i="1"/>
  <c r="A262" i="1" l="1"/>
  <c r="C262" i="1"/>
  <c r="D262" i="1" s="1"/>
  <c r="H230" i="1"/>
  <c r="B262" i="1" l="1"/>
  <c r="E262" i="1"/>
  <c r="F262" i="1" s="1"/>
  <c r="G262" i="1"/>
  <c r="I230" i="1"/>
  <c r="A263" i="1" l="1"/>
  <c r="C263" i="1"/>
  <c r="D263" i="1" s="1"/>
  <c r="H231" i="1"/>
  <c r="B263" i="1" l="1"/>
  <c r="E263" i="1"/>
  <c r="F263" i="1" s="1"/>
  <c r="G263" i="1"/>
  <c r="I231" i="1"/>
  <c r="A264" i="1" l="1"/>
  <c r="C264" i="1"/>
  <c r="D264" i="1" s="1"/>
  <c r="H232" i="1"/>
  <c r="B264" i="1" l="1"/>
  <c r="G264" i="1"/>
  <c r="E264" i="1"/>
  <c r="F264" i="1" s="1"/>
  <c r="I232" i="1"/>
  <c r="C265" i="1" l="1"/>
  <c r="D265" i="1" s="1"/>
  <c r="A265" i="1"/>
  <c r="H233" i="1"/>
  <c r="B265" i="1" l="1"/>
  <c r="E265" i="1"/>
  <c r="F265" i="1" s="1"/>
  <c r="G265" i="1"/>
  <c r="I233" i="1"/>
  <c r="C266" i="1" l="1"/>
  <c r="D266" i="1" s="1"/>
  <c r="A266" i="1"/>
  <c r="H234" i="1"/>
  <c r="E266" i="1" l="1"/>
  <c r="F266" i="1" s="1"/>
  <c r="G266" i="1"/>
  <c r="B266" i="1"/>
  <c r="I234" i="1"/>
  <c r="A267" i="1" l="1"/>
  <c r="C267" i="1"/>
  <c r="D267" i="1" s="1"/>
  <c r="H235" i="1"/>
  <c r="G267" i="1" l="1"/>
  <c r="B267" i="1"/>
  <c r="E267" i="1"/>
  <c r="F267" i="1" s="1"/>
  <c r="I235" i="1"/>
  <c r="A268" i="1" l="1"/>
  <c r="C268" i="1"/>
  <c r="D268" i="1" s="1"/>
  <c r="H236" i="1"/>
  <c r="E268" i="1" l="1"/>
  <c r="F268" i="1" s="1"/>
  <c r="G268" i="1"/>
  <c r="B268" i="1"/>
  <c r="I236" i="1"/>
  <c r="A269" i="1" l="1"/>
  <c r="C269" i="1"/>
  <c r="D269" i="1" s="1"/>
  <c r="H237" i="1"/>
  <c r="E269" i="1" l="1"/>
  <c r="F269" i="1" s="1"/>
  <c r="G269" i="1"/>
  <c r="B269" i="1"/>
  <c r="I237" i="1"/>
  <c r="C270" i="1" l="1"/>
  <c r="D270" i="1" s="1"/>
  <c r="A270" i="1"/>
  <c r="H238" i="1"/>
  <c r="G270" i="1" l="1"/>
  <c r="E270" i="1"/>
  <c r="F270" i="1" s="1"/>
  <c r="B270" i="1"/>
  <c r="I238" i="1"/>
  <c r="C271" i="1" l="1"/>
  <c r="D271" i="1" s="1"/>
  <c r="A271" i="1"/>
  <c r="H239" i="1"/>
  <c r="B271" i="1" l="1"/>
  <c r="E271" i="1"/>
  <c r="F271" i="1" s="1"/>
  <c r="G271" i="1"/>
  <c r="I239" i="1"/>
  <c r="A272" i="1" l="1"/>
  <c r="C272" i="1"/>
  <c r="D272" i="1" s="1"/>
  <c r="H240" i="1"/>
  <c r="B272" i="1" l="1"/>
  <c r="E272" i="1"/>
  <c r="F272" i="1" s="1"/>
  <c r="G272" i="1"/>
  <c r="I240" i="1"/>
  <c r="A273" i="1" l="1"/>
  <c r="C273" i="1"/>
  <c r="D273" i="1" s="1"/>
  <c r="H241" i="1"/>
  <c r="B273" i="1" l="1"/>
  <c r="E273" i="1"/>
  <c r="F273" i="1" s="1"/>
  <c r="G273" i="1"/>
  <c r="I241" i="1"/>
  <c r="A274" i="1" l="1"/>
  <c r="C274" i="1"/>
  <c r="D274" i="1" s="1"/>
  <c r="H242" i="1"/>
  <c r="B274" i="1" l="1"/>
  <c r="E274" i="1"/>
  <c r="F274" i="1" s="1"/>
  <c r="G274" i="1"/>
  <c r="I242" i="1"/>
  <c r="A275" i="1" l="1"/>
  <c r="C275" i="1"/>
  <c r="D275" i="1" s="1"/>
  <c r="H243" i="1"/>
  <c r="G275" i="1" l="1"/>
  <c r="B275" i="1"/>
  <c r="E275" i="1"/>
  <c r="F275" i="1" s="1"/>
  <c r="I243" i="1"/>
  <c r="C276" i="1" l="1"/>
  <c r="D276" i="1" s="1"/>
  <c r="A276" i="1"/>
  <c r="H244" i="1"/>
  <c r="B276" i="1" l="1"/>
  <c r="G276" i="1"/>
  <c r="E276" i="1"/>
  <c r="F276" i="1" s="1"/>
  <c r="I244" i="1"/>
  <c r="A277" i="1" l="1"/>
  <c r="C277" i="1"/>
  <c r="D277" i="1" s="1"/>
  <c r="H245" i="1"/>
  <c r="B277" i="1" l="1"/>
  <c r="E277" i="1"/>
  <c r="F277" i="1" s="1"/>
  <c r="G277" i="1"/>
  <c r="I245" i="1"/>
  <c r="A278" i="1" l="1"/>
  <c r="C278" i="1"/>
  <c r="D278" i="1" s="1"/>
  <c r="H246" i="1"/>
  <c r="B278" i="1" l="1"/>
  <c r="E278" i="1"/>
  <c r="F278" i="1" s="1"/>
  <c r="G278" i="1"/>
  <c r="I246" i="1"/>
  <c r="A279" i="1" l="1"/>
  <c r="C279" i="1"/>
  <c r="D279" i="1" s="1"/>
  <c r="H247" i="1"/>
  <c r="G279" i="1" l="1"/>
  <c r="E279" i="1"/>
  <c r="F279" i="1" s="1"/>
  <c r="B279" i="1"/>
  <c r="I247" i="1"/>
  <c r="C280" i="1" l="1"/>
  <c r="D280" i="1" s="1"/>
  <c r="A280" i="1"/>
  <c r="H248" i="1"/>
  <c r="G280" i="1" l="1"/>
  <c r="B280" i="1"/>
  <c r="E280" i="1"/>
  <c r="F280" i="1" s="1"/>
  <c r="I248" i="1"/>
  <c r="A281" i="1" l="1"/>
  <c r="C281" i="1"/>
  <c r="D281" i="1" s="1"/>
  <c r="H249" i="1"/>
  <c r="B281" i="1" l="1"/>
  <c r="E281" i="1"/>
  <c r="F281" i="1" s="1"/>
  <c r="G281" i="1"/>
  <c r="I249" i="1"/>
  <c r="A282" i="1" l="1"/>
  <c r="C282" i="1"/>
  <c r="D282" i="1" s="1"/>
  <c r="H250" i="1"/>
  <c r="E282" i="1" l="1"/>
  <c r="F282" i="1" s="1"/>
  <c r="G282" i="1"/>
  <c r="B282" i="1"/>
  <c r="I250" i="1"/>
  <c r="A283" i="1" l="1"/>
  <c r="C283" i="1"/>
  <c r="D283" i="1" s="1"/>
  <c r="H251" i="1"/>
  <c r="B283" i="1" l="1"/>
  <c r="E283" i="1"/>
  <c r="F283" i="1" s="1"/>
  <c r="G283" i="1"/>
  <c r="I251" i="1"/>
  <c r="A284" i="1" l="1"/>
  <c r="C284" i="1"/>
  <c r="D284" i="1" s="1"/>
  <c r="H252" i="1"/>
  <c r="G284" i="1" l="1"/>
  <c r="B284" i="1"/>
  <c r="E284" i="1"/>
  <c r="F284" i="1" s="1"/>
  <c r="I252" i="1"/>
  <c r="A285" i="1" l="1"/>
  <c r="C285" i="1"/>
  <c r="D285" i="1" s="1"/>
  <c r="H253" i="1"/>
  <c r="B285" i="1" l="1"/>
  <c r="G285" i="1"/>
  <c r="E285" i="1"/>
  <c r="F285" i="1" s="1"/>
  <c r="I253" i="1"/>
  <c r="C286" i="1" l="1"/>
  <c r="D286" i="1" s="1"/>
  <c r="A286" i="1"/>
  <c r="H254" i="1"/>
  <c r="B286" i="1" l="1"/>
  <c r="E286" i="1"/>
  <c r="F286" i="1" s="1"/>
  <c r="G286" i="1"/>
  <c r="I254" i="1"/>
  <c r="C287" i="1" l="1"/>
  <c r="D287" i="1" s="1"/>
  <c r="A287" i="1"/>
  <c r="H255" i="1"/>
  <c r="B287" i="1" l="1"/>
  <c r="E287" i="1"/>
  <c r="F287" i="1" s="1"/>
  <c r="G287" i="1"/>
  <c r="I255" i="1"/>
  <c r="A288" i="1" l="1"/>
  <c r="C288" i="1"/>
  <c r="D288" i="1" s="1"/>
  <c r="H256" i="1"/>
  <c r="G288" i="1" l="1"/>
  <c r="B288" i="1"/>
  <c r="E288" i="1"/>
  <c r="F288" i="1" s="1"/>
  <c r="I256" i="1"/>
  <c r="A289" i="1" l="1"/>
  <c r="C289" i="1"/>
  <c r="D289" i="1" s="1"/>
  <c r="H257" i="1"/>
  <c r="E289" i="1" l="1"/>
  <c r="F289" i="1" s="1"/>
  <c r="G289" i="1"/>
  <c r="B289" i="1"/>
  <c r="I257" i="1"/>
  <c r="A290" i="1" l="1"/>
  <c r="C290" i="1"/>
  <c r="D290" i="1" s="1"/>
  <c r="H258" i="1"/>
  <c r="B290" i="1" l="1"/>
  <c r="E290" i="1"/>
  <c r="F290" i="1" s="1"/>
  <c r="G290" i="1"/>
  <c r="I258" i="1"/>
  <c r="A291" i="1" l="1"/>
  <c r="C291" i="1"/>
  <c r="D291" i="1" s="1"/>
  <c r="H259" i="1"/>
  <c r="G291" i="1" l="1"/>
  <c r="E291" i="1"/>
  <c r="F291" i="1" s="1"/>
  <c r="B291" i="1"/>
  <c r="I259" i="1"/>
  <c r="C292" i="1" l="1"/>
  <c r="D292" i="1" s="1"/>
  <c r="A292" i="1"/>
  <c r="H260" i="1"/>
  <c r="B292" i="1" l="1"/>
  <c r="E292" i="1"/>
  <c r="F292" i="1" s="1"/>
  <c r="G292" i="1"/>
  <c r="I260" i="1"/>
  <c r="A293" i="1" l="1"/>
  <c r="C293" i="1"/>
  <c r="D293" i="1" s="1"/>
  <c r="H261" i="1"/>
  <c r="G293" i="1" l="1"/>
  <c r="B293" i="1"/>
  <c r="E293" i="1"/>
  <c r="F293" i="1" s="1"/>
  <c r="I261" i="1"/>
  <c r="A294" i="1" l="1"/>
  <c r="C294" i="1"/>
  <c r="D294" i="1" s="1"/>
  <c r="H262" i="1"/>
  <c r="B294" i="1" l="1"/>
  <c r="E294" i="1"/>
  <c r="F294" i="1" s="1"/>
  <c r="G294" i="1"/>
  <c r="I262" i="1"/>
  <c r="C295" i="1" l="1"/>
  <c r="D295" i="1" s="1"/>
  <c r="A295" i="1"/>
  <c r="H263" i="1"/>
  <c r="E295" i="1" l="1"/>
  <c r="F295" i="1" s="1"/>
  <c r="B295" i="1"/>
  <c r="G295" i="1"/>
  <c r="I263" i="1"/>
  <c r="C296" i="1" l="1"/>
  <c r="D296" i="1" s="1"/>
  <c r="A296" i="1"/>
  <c r="H264" i="1"/>
  <c r="G296" i="1" l="1"/>
  <c r="B296" i="1"/>
  <c r="E296" i="1"/>
  <c r="F296" i="1" s="1"/>
  <c r="I264" i="1"/>
  <c r="C297" i="1" l="1"/>
  <c r="D297" i="1" s="1"/>
  <c r="A297" i="1"/>
  <c r="H265" i="1"/>
  <c r="E297" i="1" l="1"/>
  <c r="F297" i="1" s="1"/>
  <c r="B297" i="1"/>
  <c r="G297" i="1"/>
  <c r="I265" i="1"/>
  <c r="C298" i="1" l="1"/>
  <c r="D298" i="1" s="1"/>
  <c r="A298" i="1"/>
  <c r="H266" i="1"/>
  <c r="E298" i="1" l="1"/>
  <c r="F298" i="1" s="1"/>
  <c r="B298" i="1"/>
  <c r="G298" i="1"/>
  <c r="I266" i="1"/>
  <c r="A299" i="1" l="1"/>
  <c r="C299" i="1"/>
  <c r="D299" i="1" s="1"/>
  <c r="H267" i="1"/>
  <c r="B299" i="1" l="1"/>
  <c r="E299" i="1"/>
  <c r="F299" i="1" s="1"/>
  <c r="G299" i="1"/>
  <c r="I267" i="1"/>
  <c r="A300" i="1" l="1"/>
  <c r="C300" i="1"/>
  <c r="D300" i="1" s="1"/>
  <c r="H268" i="1"/>
  <c r="G300" i="1" l="1"/>
  <c r="E300" i="1"/>
  <c r="F300" i="1" s="1"/>
  <c r="B300" i="1"/>
  <c r="I268" i="1"/>
  <c r="A301" i="1" l="1"/>
  <c r="C301" i="1"/>
  <c r="D301" i="1" s="1"/>
  <c r="H269" i="1"/>
  <c r="B301" i="1" l="1"/>
  <c r="E301" i="1"/>
  <c r="F301" i="1" s="1"/>
  <c r="G301" i="1"/>
  <c r="I269" i="1"/>
  <c r="A302" i="1" l="1"/>
  <c r="C302" i="1"/>
  <c r="D302" i="1" s="1"/>
  <c r="H270" i="1"/>
  <c r="B302" i="1" l="1"/>
  <c r="E302" i="1"/>
  <c r="F302" i="1" s="1"/>
  <c r="G302" i="1"/>
  <c r="I270" i="1"/>
  <c r="C303" i="1" l="1"/>
  <c r="D303" i="1" s="1"/>
  <c r="A303" i="1"/>
  <c r="H271" i="1"/>
  <c r="B303" i="1" l="1"/>
  <c r="E303" i="1"/>
  <c r="F303" i="1" s="1"/>
  <c r="G303" i="1"/>
  <c r="I271" i="1"/>
  <c r="A304" i="1" l="1"/>
  <c r="C304" i="1"/>
  <c r="D304" i="1" s="1"/>
  <c r="H272" i="1"/>
  <c r="B304" i="1" l="1"/>
  <c r="G304" i="1"/>
  <c r="E304" i="1"/>
  <c r="F304" i="1" s="1"/>
  <c r="I272" i="1"/>
  <c r="C305" i="1" l="1"/>
  <c r="D305" i="1" s="1"/>
  <c r="A305" i="1"/>
  <c r="H273" i="1"/>
  <c r="E305" i="1" l="1"/>
  <c r="F305" i="1" s="1"/>
  <c r="G305" i="1"/>
  <c r="B305" i="1"/>
  <c r="I273" i="1"/>
  <c r="C306" i="1" l="1"/>
  <c r="D306" i="1" s="1"/>
  <c r="A306" i="1"/>
  <c r="H274" i="1"/>
  <c r="G306" i="1" l="1"/>
  <c r="E306" i="1"/>
  <c r="F306" i="1" s="1"/>
  <c r="B306" i="1"/>
  <c r="I274" i="1"/>
  <c r="A307" i="1" l="1"/>
  <c r="C307" i="1"/>
  <c r="D307" i="1" s="1"/>
  <c r="H275" i="1"/>
  <c r="G307" i="1" l="1"/>
  <c r="B307" i="1"/>
  <c r="E307" i="1"/>
  <c r="F307" i="1" s="1"/>
  <c r="I275" i="1"/>
  <c r="C308" i="1" l="1"/>
  <c r="D308" i="1" s="1"/>
  <c r="A308" i="1"/>
  <c r="H276" i="1"/>
  <c r="B308" i="1" l="1"/>
  <c r="G308" i="1"/>
  <c r="E308" i="1"/>
  <c r="F308" i="1" s="1"/>
  <c r="I276" i="1"/>
  <c r="A309" i="1" l="1"/>
  <c r="C309" i="1"/>
  <c r="D309" i="1" s="1"/>
  <c r="H277" i="1"/>
  <c r="E309" i="1" l="1"/>
  <c r="F309" i="1" s="1"/>
  <c r="B309" i="1"/>
  <c r="G309" i="1"/>
  <c r="I277" i="1"/>
  <c r="A310" i="1" l="1"/>
  <c r="C310" i="1"/>
  <c r="D310" i="1" s="1"/>
  <c r="H278" i="1"/>
  <c r="B310" i="1" l="1"/>
  <c r="E310" i="1"/>
  <c r="F310" i="1" s="1"/>
  <c r="G310" i="1"/>
  <c r="I278" i="1"/>
  <c r="A311" i="1" l="1"/>
  <c r="C311" i="1"/>
  <c r="D311" i="1" s="1"/>
  <c r="H279" i="1"/>
  <c r="E311" i="1" l="1"/>
  <c r="F311" i="1" s="1"/>
  <c r="G311" i="1"/>
  <c r="B311" i="1"/>
  <c r="I279" i="1"/>
  <c r="C312" i="1" l="1"/>
  <c r="D312" i="1" s="1"/>
  <c r="A312" i="1"/>
  <c r="H280" i="1"/>
  <c r="B312" i="1" l="1"/>
  <c r="E312" i="1"/>
  <c r="F312" i="1" s="1"/>
  <c r="G312" i="1"/>
  <c r="I280" i="1"/>
  <c r="A313" i="1" l="1"/>
  <c r="C313" i="1"/>
  <c r="D313" i="1" s="1"/>
  <c r="H281" i="1"/>
  <c r="B313" i="1" l="1"/>
  <c r="E313" i="1"/>
  <c r="F313" i="1" s="1"/>
  <c r="G313" i="1"/>
  <c r="I281" i="1"/>
  <c r="A314" i="1" l="1"/>
  <c r="C314" i="1"/>
  <c r="D314" i="1" s="1"/>
  <c r="H282" i="1"/>
  <c r="E314" i="1" l="1"/>
  <c r="F314" i="1" s="1"/>
  <c r="G314" i="1"/>
  <c r="B314" i="1"/>
  <c r="I282" i="1"/>
  <c r="A315" i="1" l="1"/>
  <c r="C315" i="1"/>
  <c r="D315" i="1" s="1"/>
  <c r="H283" i="1"/>
  <c r="B315" i="1" l="1"/>
  <c r="E315" i="1"/>
  <c r="F315" i="1" s="1"/>
  <c r="G315" i="1"/>
  <c r="I283" i="1"/>
  <c r="C316" i="1" l="1"/>
  <c r="D316" i="1" s="1"/>
  <c r="A316" i="1"/>
  <c r="H284" i="1"/>
  <c r="G316" i="1" l="1"/>
  <c r="B316" i="1"/>
  <c r="E316" i="1"/>
  <c r="F316" i="1" s="1"/>
  <c r="I284" i="1"/>
  <c r="A317" i="1" l="1"/>
  <c r="C317" i="1"/>
  <c r="D317" i="1" s="1"/>
  <c r="H285" i="1"/>
  <c r="E317" i="1" l="1"/>
  <c r="F317" i="1" s="1"/>
  <c r="B317" i="1"/>
  <c r="G317" i="1"/>
  <c r="I285" i="1"/>
  <c r="A318" i="1" l="1"/>
  <c r="C318" i="1"/>
  <c r="D318" i="1" s="1"/>
  <c r="H286" i="1"/>
  <c r="B318" i="1" l="1"/>
  <c r="E318" i="1"/>
  <c r="F318" i="1" s="1"/>
  <c r="G318" i="1"/>
  <c r="I286" i="1"/>
  <c r="A319" i="1" l="1"/>
  <c r="C319" i="1"/>
  <c r="D319" i="1" s="1"/>
  <c r="H287" i="1"/>
  <c r="B319" i="1" l="1"/>
  <c r="G319" i="1"/>
  <c r="E319" i="1"/>
  <c r="F319" i="1" s="1"/>
  <c r="I287" i="1"/>
  <c r="A320" i="1" l="1"/>
  <c r="C320" i="1"/>
  <c r="D320" i="1" s="1"/>
  <c r="H288" i="1"/>
  <c r="B320" i="1" l="1"/>
  <c r="G320" i="1"/>
  <c r="E320" i="1"/>
  <c r="F320" i="1" s="1"/>
  <c r="I288" i="1"/>
  <c r="A321" i="1" l="1"/>
  <c r="C321" i="1"/>
  <c r="D321" i="1" s="1"/>
  <c r="H289" i="1"/>
  <c r="E321" i="1" l="1"/>
  <c r="F321" i="1" s="1"/>
  <c r="G321" i="1"/>
  <c r="B321" i="1"/>
  <c r="I289" i="1"/>
  <c r="C322" i="1" l="1"/>
  <c r="D322" i="1" s="1"/>
  <c r="A322" i="1"/>
  <c r="H290" i="1"/>
  <c r="E322" i="1" l="1"/>
  <c r="F322" i="1" s="1"/>
  <c r="B322" i="1"/>
  <c r="G322" i="1"/>
  <c r="I290" i="1"/>
  <c r="A323" i="1" l="1"/>
  <c r="C323" i="1"/>
  <c r="D323" i="1" s="1"/>
  <c r="H291" i="1"/>
  <c r="G323" i="1" l="1"/>
  <c r="B323" i="1"/>
  <c r="E323" i="1"/>
  <c r="F323" i="1" s="1"/>
  <c r="I291" i="1"/>
  <c r="A324" i="1" l="1"/>
  <c r="C324" i="1"/>
  <c r="D324" i="1" s="1"/>
  <c r="H292" i="1"/>
  <c r="G324" i="1" l="1"/>
  <c r="E324" i="1"/>
  <c r="F324" i="1" s="1"/>
  <c r="B324" i="1"/>
  <c r="I292" i="1"/>
  <c r="A325" i="1" l="1"/>
  <c r="C325" i="1"/>
  <c r="D325" i="1" s="1"/>
  <c r="H293" i="1"/>
  <c r="B325" i="1" l="1"/>
  <c r="G325" i="1"/>
  <c r="E325" i="1"/>
  <c r="F325" i="1" s="1"/>
  <c r="I293" i="1"/>
  <c r="A326" i="1" l="1"/>
  <c r="C326" i="1"/>
  <c r="D326" i="1" s="1"/>
  <c r="H294" i="1"/>
  <c r="G326" i="1" l="1"/>
  <c r="B326" i="1"/>
  <c r="E326" i="1"/>
  <c r="F326" i="1" s="1"/>
  <c r="I294" i="1"/>
  <c r="C327" i="1" l="1"/>
  <c r="D327" i="1" s="1"/>
  <c r="A327" i="1"/>
  <c r="H295" i="1"/>
  <c r="B327" i="1" l="1"/>
  <c r="E327" i="1"/>
  <c r="F327" i="1" s="1"/>
  <c r="G327" i="1"/>
  <c r="I295" i="1"/>
  <c r="C328" i="1" l="1"/>
  <c r="D328" i="1" s="1"/>
  <c r="A328" i="1"/>
  <c r="H296" i="1"/>
  <c r="G328" i="1" l="1"/>
  <c r="B328" i="1"/>
  <c r="E328" i="1"/>
  <c r="F328" i="1" s="1"/>
  <c r="I296" i="1"/>
  <c r="A329" i="1" l="1"/>
  <c r="C329" i="1"/>
  <c r="D329" i="1" s="1"/>
  <c r="H297" i="1"/>
  <c r="E329" i="1" l="1"/>
  <c r="F329" i="1" s="1"/>
  <c r="G329" i="1"/>
  <c r="B329" i="1"/>
  <c r="I297" i="1"/>
  <c r="A330" i="1" l="1"/>
  <c r="C330" i="1"/>
  <c r="D330" i="1" s="1"/>
  <c r="H298" i="1"/>
  <c r="E330" i="1" l="1"/>
  <c r="F330" i="1" s="1"/>
  <c r="B330" i="1"/>
  <c r="G330" i="1"/>
  <c r="I298" i="1"/>
  <c r="A331" i="1" l="1"/>
  <c r="C331" i="1"/>
  <c r="D331" i="1" s="1"/>
  <c r="H299" i="1"/>
  <c r="B331" i="1" l="1"/>
  <c r="E331" i="1"/>
  <c r="F331" i="1" s="1"/>
  <c r="G331" i="1"/>
  <c r="I299" i="1"/>
  <c r="A332" i="1" l="1"/>
  <c r="C332" i="1"/>
  <c r="D332" i="1" s="1"/>
  <c r="H300" i="1"/>
  <c r="G332" i="1" l="1"/>
  <c r="B332" i="1"/>
  <c r="E332" i="1"/>
  <c r="F332" i="1" s="1"/>
  <c r="I300" i="1"/>
  <c r="A333" i="1" l="1"/>
  <c r="C333" i="1"/>
  <c r="D333" i="1" s="1"/>
  <c r="H301" i="1"/>
  <c r="B333" i="1" l="1"/>
  <c r="E333" i="1"/>
  <c r="F333" i="1" s="1"/>
  <c r="G333" i="1"/>
  <c r="I301" i="1"/>
  <c r="A334" i="1" l="1"/>
  <c r="C334" i="1"/>
  <c r="D334" i="1" s="1"/>
  <c r="H302" i="1"/>
  <c r="E334" i="1" l="1"/>
  <c r="F334" i="1" s="1"/>
  <c r="G334" i="1"/>
  <c r="B334" i="1"/>
  <c r="I302" i="1"/>
  <c r="A335" i="1" l="1"/>
  <c r="C335" i="1"/>
  <c r="D335" i="1" s="1"/>
  <c r="H303" i="1"/>
  <c r="B335" i="1" l="1"/>
  <c r="G335" i="1"/>
  <c r="E335" i="1"/>
  <c r="F335" i="1" s="1"/>
  <c r="I303" i="1"/>
  <c r="A336" i="1" l="1"/>
  <c r="C336" i="1"/>
  <c r="D336" i="1" s="1"/>
  <c r="H304" i="1"/>
  <c r="G336" i="1" l="1"/>
  <c r="E336" i="1"/>
  <c r="F336" i="1" s="1"/>
  <c r="B336" i="1"/>
  <c r="I304" i="1"/>
  <c r="A337" i="1" l="1"/>
  <c r="C337" i="1"/>
  <c r="D337" i="1" s="1"/>
  <c r="H305" i="1"/>
  <c r="B337" i="1" l="1"/>
  <c r="G337" i="1"/>
  <c r="E337" i="1"/>
  <c r="F337" i="1" s="1"/>
  <c r="I305" i="1"/>
  <c r="A338" i="1" l="1"/>
  <c r="C338" i="1"/>
  <c r="D338" i="1" s="1"/>
  <c r="H306" i="1"/>
  <c r="G338" i="1" l="1"/>
  <c r="B338" i="1"/>
  <c r="E338" i="1"/>
  <c r="F338" i="1" s="1"/>
  <c r="I306" i="1"/>
  <c r="C339" i="1" l="1"/>
  <c r="D339" i="1" s="1"/>
  <c r="A339" i="1"/>
  <c r="H307" i="1"/>
  <c r="E339" i="1" l="1"/>
  <c r="F339" i="1" s="1"/>
  <c r="B339" i="1"/>
  <c r="G339" i="1"/>
  <c r="I307" i="1"/>
  <c r="A340" i="1" l="1"/>
  <c r="C340" i="1"/>
  <c r="D340" i="1" s="1"/>
  <c r="H308" i="1"/>
  <c r="B340" i="1" l="1"/>
  <c r="E340" i="1"/>
  <c r="F340" i="1" s="1"/>
  <c r="G340" i="1"/>
  <c r="I308" i="1"/>
  <c r="A341" i="1" l="1"/>
  <c r="C341" i="1"/>
  <c r="D341" i="1" s="1"/>
  <c r="H309" i="1"/>
  <c r="G341" i="1" l="1"/>
  <c r="E341" i="1"/>
  <c r="F341" i="1" s="1"/>
  <c r="B341" i="1"/>
  <c r="I309" i="1"/>
  <c r="A342" i="1" l="1"/>
  <c r="C342" i="1"/>
  <c r="D342" i="1" s="1"/>
  <c r="H310" i="1"/>
  <c r="B342" i="1" l="1"/>
  <c r="E342" i="1"/>
  <c r="F342" i="1" s="1"/>
  <c r="G342" i="1"/>
  <c r="I310" i="1"/>
  <c r="A343" i="1" l="1"/>
  <c r="C343" i="1"/>
  <c r="D343" i="1" s="1"/>
  <c r="H311" i="1"/>
  <c r="B343" i="1" l="1"/>
  <c r="E343" i="1"/>
  <c r="F343" i="1" s="1"/>
  <c r="G343" i="1"/>
  <c r="I311" i="1"/>
  <c r="C344" i="1" l="1"/>
  <c r="D344" i="1" s="1"/>
  <c r="A344" i="1"/>
  <c r="H312" i="1"/>
  <c r="B344" i="1" l="1"/>
  <c r="E344" i="1"/>
  <c r="F344" i="1" s="1"/>
  <c r="G344" i="1"/>
  <c r="I312" i="1"/>
  <c r="A345" i="1" l="1"/>
  <c r="C345" i="1"/>
  <c r="D345" i="1" s="1"/>
  <c r="H313" i="1"/>
  <c r="B345" i="1" l="1"/>
  <c r="E345" i="1"/>
  <c r="F345" i="1" s="1"/>
  <c r="G345" i="1"/>
  <c r="I313" i="1"/>
  <c r="C346" i="1" l="1"/>
  <c r="D346" i="1" s="1"/>
  <c r="A346" i="1"/>
  <c r="H314" i="1"/>
  <c r="E346" i="1" l="1"/>
  <c r="F346" i="1" s="1"/>
  <c r="G346" i="1"/>
  <c r="B346" i="1"/>
  <c r="I314" i="1"/>
  <c r="A347" i="1" l="1"/>
  <c r="C347" i="1"/>
  <c r="D347" i="1" s="1"/>
  <c r="H315" i="1"/>
  <c r="G347" i="1" l="1"/>
  <c r="B347" i="1"/>
  <c r="E347" i="1"/>
  <c r="F347" i="1" s="1"/>
  <c r="I315" i="1"/>
  <c r="A348" i="1" l="1"/>
  <c r="C348" i="1"/>
  <c r="D348" i="1" s="1"/>
  <c r="H316" i="1"/>
  <c r="G348" i="1" l="1"/>
  <c r="E348" i="1"/>
  <c r="F348" i="1" s="1"/>
  <c r="B348" i="1"/>
  <c r="I316" i="1"/>
  <c r="C349" i="1" l="1"/>
  <c r="D349" i="1" s="1"/>
  <c r="A349" i="1"/>
  <c r="H317" i="1"/>
  <c r="B349" i="1" l="1"/>
  <c r="E349" i="1"/>
  <c r="F349" i="1" s="1"/>
  <c r="G349" i="1"/>
  <c r="I317" i="1"/>
  <c r="A350" i="1" l="1"/>
  <c r="C350" i="1"/>
  <c r="D350" i="1" s="1"/>
  <c r="H318" i="1"/>
  <c r="G350" i="1" l="1"/>
  <c r="E350" i="1"/>
  <c r="F350" i="1" s="1"/>
  <c r="B350" i="1"/>
  <c r="I318" i="1"/>
  <c r="C351" i="1" l="1"/>
  <c r="D351" i="1" s="1"/>
  <c r="A351" i="1"/>
  <c r="H319" i="1"/>
  <c r="B351" i="1" l="1"/>
  <c r="E351" i="1"/>
  <c r="F351" i="1" s="1"/>
  <c r="G351" i="1"/>
  <c r="I319" i="1"/>
  <c r="A352" i="1" l="1"/>
  <c r="C352" i="1"/>
  <c r="D352" i="1" s="1"/>
  <c r="H320" i="1"/>
  <c r="B352" i="1" l="1"/>
  <c r="E352" i="1"/>
  <c r="F352" i="1" s="1"/>
  <c r="G352" i="1"/>
  <c r="I320" i="1"/>
  <c r="A353" i="1" l="1"/>
  <c r="C353" i="1"/>
  <c r="D353" i="1" s="1"/>
  <c r="H321" i="1"/>
  <c r="G353" i="1" l="1"/>
  <c r="B353" i="1"/>
  <c r="E353" i="1"/>
  <c r="F353" i="1" s="1"/>
  <c r="I321" i="1"/>
  <c r="A354" i="1" l="1"/>
  <c r="C354" i="1"/>
  <c r="D354" i="1" s="1"/>
  <c r="H322" i="1"/>
  <c r="B354" i="1" l="1"/>
  <c r="E354" i="1"/>
  <c r="F354" i="1" s="1"/>
  <c r="G354" i="1"/>
  <c r="I322" i="1"/>
  <c r="C355" i="1" l="1"/>
  <c r="D355" i="1" s="1"/>
  <c r="A355" i="1"/>
  <c r="H323" i="1"/>
  <c r="G355" i="1" l="1"/>
  <c r="E355" i="1"/>
  <c r="F355" i="1" s="1"/>
  <c r="B355" i="1"/>
  <c r="I323" i="1"/>
  <c r="A356" i="1" l="1"/>
  <c r="C356" i="1"/>
  <c r="D356" i="1" s="1"/>
  <c r="H324" i="1"/>
  <c r="E356" i="1" l="1"/>
  <c r="F356" i="1" s="1"/>
  <c r="B356" i="1"/>
  <c r="G356" i="1"/>
  <c r="I324" i="1"/>
  <c r="A357" i="1" l="1"/>
  <c r="C357" i="1"/>
  <c r="D357" i="1" s="1"/>
  <c r="H325" i="1"/>
  <c r="B357" i="1" l="1"/>
  <c r="E357" i="1"/>
  <c r="F357" i="1" s="1"/>
  <c r="G357" i="1"/>
  <c r="I325" i="1"/>
  <c r="A358" i="1" l="1"/>
  <c r="C358" i="1"/>
  <c r="D358" i="1" s="1"/>
  <c r="H326" i="1"/>
  <c r="G358" i="1" l="1"/>
  <c r="B358" i="1"/>
  <c r="E358" i="1"/>
  <c r="F358" i="1" s="1"/>
  <c r="I326" i="1"/>
  <c r="A359" i="1" l="1"/>
  <c r="C359" i="1"/>
  <c r="D359" i="1" s="1"/>
  <c r="H327" i="1"/>
  <c r="B359" i="1" l="1"/>
  <c r="G359" i="1"/>
  <c r="E359" i="1"/>
  <c r="F359" i="1" s="1"/>
  <c r="I327" i="1"/>
  <c r="C360" i="1" l="1"/>
  <c r="D360" i="1" s="1"/>
  <c r="A360" i="1"/>
  <c r="H328" i="1"/>
  <c r="E360" i="1" l="1"/>
  <c r="F360" i="1" s="1"/>
  <c r="B360" i="1"/>
  <c r="G360" i="1"/>
  <c r="I328" i="1"/>
  <c r="C361" i="1" l="1"/>
  <c r="D361" i="1" s="1"/>
  <c r="A361" i="1"/>
  <c r="H329" i="1"/>
  <c r="E361" i="1" l="1"/>
  <c r="F361" i="1" s="1"/>
  <c r="B361" i="1"/>
  <c r="G361" i="1"/>
  <c r="I329" i="1"/>
  <c r="A362" i="1" l="1"/>
  <c r="C362" i="1"/>
  <c r="D362" i="1" s="1"/>
  <c r="H330" i="1"/>
  <c r="E362" i="1" l="1"/>
  <c r="F362" i="1" s="1"/>
  <c r="G362" i="1"/>
  <c r="B362" i="1"/>
  <c r="I330" i="1"/>
  <c r="A363" i="1" l="1"/>
  <c r="C363" i="1"/>
  <c r="D363" i="1" s="1"/>
  <c r="H331" i="1"/>
  <c r="G363" i="1" l="1"/>
  <c r="E363" i="1"/>
  <c r="F363" i="1" s="1"/>
  <c r="B363" i="1"/>
  <c r="I331" i="1"/>
  <c r="A364" i="1" l="1"/>
  <c r="C364" i="1"/>
  <c r="D364" i="1" s="1"/>
  <c r="H332" i="1"/>
  <c r="G364" i="1" l="1"/>
  <c r="E364" i="1"/>
  <c r="F364" i="1" s="1"/>
  <c r="B364" i="1"/>
  <c r="I332" i="1"/>
  <c r="A365" i="1" l="1"/>
  <c r="C365" i="1"/>
  <c r="D365" i="1" s="1"/>
  <c r="H333" i="1"/>
  <c r="G365" i="1" l="1"/>
  <c r="B365" i="1"/>
  <c r="E365" i="1"/>
  <c r="F365" i="1" s="1"/>
  <c r="I333" i="1"/>
  <c r="C366" i="1" l="1"/>
  <c r="D366" i="1" s="1"/>
  <c r="A366" i="1"/>
  <c r="H334" i="1"/>
  <c r="B366" i="1" l="1"/>
  <c r="E366" i="1"/>
  <c r="F366" i="1" s="1"/>
  <c r="G366" i="1"/>
  <c r="I334" i="1"/>
  <c r="A367" i="1" l="1"/>
  <c r="C367" i="1"/>
  <c r="D367" i="1" s="1"/>
  <c r="H335" i="1"/>
  <c r="B367" i="1" l="1"/>
  <c r="E367" i="1"/>
  <c r="F367" i="1" s="1"/>
  <c r="G367" i="1"/>
  <c r="I335" i="1"/>
  <c r="A368" i="1" l="1"/>
  <c r="C368" i="1"/>
  <c r="D368" i="1" s="1"/>
  <c r="H336" i="1"/>
  <c r="E368" i="1" l="1"/>
  <c r="F368" i="1" s="1"/>
  <c r="G368" i="1"/>
  <c r="B368" i="1"/>
  <c r="I336" i="1"/>
  <c r="A369" i="1" l="1"/>
  <c r="C369" i="1"/>
  <c r="D369" i="1" s="1"/>
  <c r="H337" i="1"/>
  <c r="B369" i="1" l="1"/>
  <c r="E369" i="1"/>
  <c r="F369" i="1" s="1"/>
  <c r="G369" i="1"/>
  <c r="I337" i="1"/>
  <c r="A370" i="1" l="1"/>
  <c r="C370" i="1"/>
  <c r="D370" i="1" s="1"/>
  <c r="H338" i="1"/>
  <c r="B370" i="1" l="1"/>
  <c r="E370" i="1"/>
  <c r="F370" i="1" s="1"/>
  <c r="G370" i="1"/>
  <c r="I338" i="1"/>
  <c r="A371" i="1" l="1"/>
  <c r="C371" i="1"/>
  <c r="D371" i="1" s="1"/>
  <c r="H339" i="1"/>
  <c r="B371" i="1" l="1"/>
  <c r="E371" i="1"/>
  <c r="F371" i="1" s="1"/>
  <c r="G371" i="1"/>
  <c r="I339" i="1"/>
  <c r="A372" i="1" l="1"/>
  <c r="C372" i="1"/>
  <c r="D372" i="1" s="1"/>
  <c r="H340" i="1"/>
  <c r="B372" i="1" l="1"/>
  <c r="E372" i="1"/>
  <c r="F372" i="1" s="1"/>
  <c r="G372" i="1"/>
  <c r="I340" i="1"/>
  <c r="A373" i="1" l="1"/>
  <c r="C373" i="1"/>
  <c r="D373" i="1" s="1"/>
  <c r="H341" i="1"/>
  <c r="E373" i="1" l="1"/>
  <c r="F373" i="1" s="1"/>
  <c r="B373" i="1"/>
  <c r="G373" i="1"/>
  <c r="I341" i="1"/>
  <c r="A374" i="1" l="1"/>
  <c r="C374" i="1"/>
  <c r="D374" i="1" s="1"/>
  <c r="H342" i="1"/>
  <c r="G374" i="1" l="1"/>
  <c r="B374" i="1"/>
  <c r="E374" i="1"/>
  <c r="F374" i="1" s="1"/>
  <c r="I342" i="1"/>
  <c r="A375" i="1" l="1"/>
  <c r="C375" i="1"/>
  <c r="D375" i="1" s="1"/>
  <c r="H343" i="1"/>
  <c r="G375" i="1" l="1"/>
  <c r="E375" i="1"/>
  <c r="F375" i="1" s="1"/>
  <c r="B375" i="1"/>
  <c r="I343" i="1"/>
  <c r="C376" i="1" l="1"/>
  <c r="D376" i="1" s="1"/>
  <c r="A376" i="1"/>
  <c r="H344" i="1"/>
  <c r="G376" i="1" l="1"/>
  <c r="B376" i="1"/>
  <c r="E376" i="1"/>
  <c r="F376" i="1" s="1"/>
  <c r="I344" i="1"/>
  <c r="A377" i="1" l="1"/>
  <c r="C377" i="1"/>
  <c r="D377" i="1" s="1"/>
  <c r="H345" i="1"/>
  <c r="E377" i="1" l="1"/>
  <c r="F377" i="1" s="1"/>
  <c r="B377" i="1"/>
  <c r="G377" i="1"/>
  <c r="I345" i="1"/>
  <c r="C378" i="1" l="1"/>
  <c r="D378" i="1" s="1"/>
  <c r="A378" i="1"/>
  <c r="H346" i="1"/>
  <c r="E378" i="1" l="1"/>
  <c r="F378" i="1" s="1"/>
  <c r="B378" i="1"/>
  <c r="G378" i="1"/>
  <c r="I346" i="1"/>
  <c r="A379" i="1" l="1"/>
  <c r="C379" i="1"/>
  <c r="D379" i="1" s="1"/>
  <c r="H347" i="1"/>
  <c r="B379" i="1" l="1"/>
  <c r="E379" i="1"/>
  <c r="F379" i="1" s="1"/>
  <c r="G379" i="1"/>
  <c r="I347" i="1"/>
  <c r="C380" i="1" l="1"/>
  <c r="D380" i="1" s="1"/>
  <c r="A380" i="1"/>
  <c r="H348" i="1"/>
  <c r="G380" i="1" l="1"/>
  <c r="E380" i="1"/>
  <c r="F380" i="1" s="1"/>
  <c r="B380" i="1"/>
  <c r="I348" i="1"/>
  <c r="A381" i="1" l="1"/>
  <c r="C381" i="1"/>
  <c r="D381" i="1" s="1"/>
  <c r="H349" i="1"/>
  <c r="B381" i="1" l="1"/>
  <c r="E381" i="1"/>
  <c r="F381" i="1" s="1"/>
  <c r="G381" i="1"/>
  <c r="I349" i="1"/>
  <c r="A382" i="1" l="1"/>
  <c r="C382" i="1"/>
  <c r="D382" i="1" s="1"/>
  <c r="H350" i="1"/>
  <c r="B382" i="1" l="1"/>
  <c r="E382" i="1"/>
  <c r="F382" i="1" s="1"/>
  <c r="G382" i="1"/>
  <c r="I350" i="1"/>
  <c r="C383" i="1" l="1"/>
  <c r="D383" i="1" s="1"/>
  <c r="A383" i="1"/>
  <c r="H351" i="1"/>
  <c r="B383" i="1" l="1"/>
  <c r="E383" i="1"/>
  <c r="F383" i="1" s="1"/>
  <c r="G383" i="1"/>
  <c r="I351" i="1"/>
  <c r="A384" i="1" l="1"/>
  <c r="C384" i="1"/>
  <c r="D384" i="1" s="1"/>
  <c r="H352" i="1"/>
  <c r="B384" i="1" l="1"/>
  <c r="G384" i="1"/>
  <c r="E384" i="1"/>
  <c r="F384" i="1" s="1"/>
  <c r="I352" i="1"/>
  <c r="C385" i="1" l="1"/>
  <c r="D385" i="1" s="1"/>
  <c r="A385" i="1"/>
  <c r="H353" i="1"/>
  <c r="G385" i="1" l="1"/>
  <c r="B385" i="1"/>
  <c r="E385" i="1"/>
  <c r="F385" i="1" s="1"/>
  <c r="I353" i="1"/>
  <c r="C386" i="1" l="1"/>
  <c r="D386" i="1" s="1"/>
  <c r="A386" i="1"/>
  <c r="H354" i="1"/>
  <c r="B386" i="1" l="1"/>
  <c r="E386" i="1"/>
  <c r="F386" i="1" s="1"/>
  <c r="G386" i="1"/>
  <c r="I354" i="1"/>
  <c r="A387" i="1" l="1"/>
  <c r="C387" i="1"/>
  <c r="D387" i="1" s="1"/>
  <c r="H355" i="1"/>
  <c r="B387" i="1" l="1"/>
  <c r="E387" i="1"/>
  <c r="F387" i="1" s="1"/>
  <c r="G387" i="1"/>
  <c r="I355" i="1"/>
  <c r="C388" i="1" l="1"/>
  <c r="D388" i="1" s="1"/>
  <c r="A388" i="1"/>
  <c r="H356" i="1"/>
  <c r="B388" i="1" l="1"/>
  <c r="G388" i="1"/>
  <c r="E388" i="1"/>
  <c r="F388" i="1" s="1"/>
  <c r="I356" i="1"/>
  <c r="A389" i="1" l="1"/>
  <c r="C389" i="1"/>
  <c r="D389" i="1" s="1"/>
  <c r="H357" i="1"/>
  <c r="E389" i="1" l="1"/>
  <c r="F389" i="1" s="1"/>
  <c r="B389" i="1"/>
  <c r="G389" i="1"/>
  <c r="I357" i="1"/>
  <c r="A390" i="1" l="1"/>
  <c r="C390" i="1"/>
  <c r="D390" i="1" s="1"/>
  <c r="H358" i="1"/>
  <c r="E390" i="1" l="1"/>
  <c r="F390" i="1" s="1"/>
  <c r="B390" i="1"/>
  <c r="G390" i="1"/>
  <c r="I358" i="1"/>
  <c r="A391" i="1" l="1"/>
  <c r="C391" i="1"/>
  <c r="D391" i="1" s="1"/>
  <c r="H359" i="1"/>
  <c r="E391" i="1" l="1"/>
  <c r="F391" i="1" s="1"/>
  <c r="B391" i="1"/>
  <c r="G391" i="1"/>
  <c r="I359" i="1"/>
  <c r="C392" i="1" l="1"/>
  <c r="D392" i="1" s="1"/>
  <c r="A392" i="1"/>
  <c r="H360" i="1"/>
  <c r="B392" i="1" l="1"/>
  <c r="E392" i="1"/>
  <c r="F392" i="1" s="1"/>
  <c r="G392" i="1"/>
  <c r="I360" i="1"/>
  <c r="A393" i="1" l="1"/>
  <c r="C393" i="1"/>
  <c r="D393" i="1" s="1"/>
  <c r="H361" i="1"/>
  <c r="B393" i="1" l="1"/>
  <c r="E393" i="1"/>
  <c r="F393" i="1" s="1"/>
  <c r="G393" i="1"/>
  <c r="I361" i="1"/>
  <c r="C394" i="1" l="1"/>
  <c r="D394" i="1" s="1"/>
  <c r="A394" i="1"/>
  <c r="H362" i="1"/>
  <c r="E394" i="1" l="1"/>
  <c r="F394" i="1" s="1"/>
  <c r="G394" i="1"/>
  <c r="B394" i="1"/>
  <c r="I362" i="1"/>
  <c r="A395" i="1" l="1"/>
  <c r="C395" i="1"/>
  <c r="D395" i="1" s="1"/>
  <c r="H363" i="1"/>
  <c r="E395" i="1" l="1"/>
  <c r="F395" i="1" s="1"/>
  <c r="B395" i="1"/>
  <c r="G395" i="1"/>
  <c r="I363" i="1"/>
  <c r="A396" i="1" l="1"/>
  <c r="C396" i="1"/>
  <c r="D396" i="1" s="1"/>
  <c r="H364" i="1"/>
  <c r="G396" i="1" l="1"/>
  <c r="B396" i="1"/>
  <c r="E396" i="1"/>
  <c r="F396" i="1" s="1"/>
  <c r="I364" i="1"/>
  <c r="C397" i="1" l="1"/>
  <c r="D397" i="1" s="1"/>
  <c r="A397" i="1"/>
  <c r="H365" i="1"/>
  <c r="B397" i="1" l="1"/>
  <c r="E397" i="1"/>
  <c r="F397" i="1" s="1"/>
  <c r="G397" i="1"/>
  <c r="I365" i="1"/>
  <c r="C398" i="1" l="1"/>
  <c r="D398" i="1" s="1"/>
  <c r="A398" i="1"/>
  <c r="H366" i="1"/>
  <c r="B398" i="1" l="1"/>
  <c r="E398" i="1"/>
  <c r="F398" i="1" s="1"/>
  <c r="G398" i="1"/>
  <c r="I366" i="1"/>
  <c r="A399" i="1" l="1"/>
  <c r="C399" i="1"/>
  <c r="D399" i="1" s="1"/>
  <c r="H367" i="1"/>
  <c r="B399" i="1" l="1"/>
  <c r="E399" i="1"/>
  <c r="F399" i="1" s="1"/>
  <c r="G399" i="1"/>
  <c r="I367" i="1"/>
  <c r="A400" i="1" l="1"/>
  <c r="C400" i="1"/>
  <c r="D400" i="1" s="1"/>
  <c r="H368" i="1"/>
  <c r="I368" i="1"/>
  <c r="B400" i="1" l="1"/>
  <c r="G400" i="1"/>
  <c r="E400" i="1"/>
  <c r="F400" i="1" s="1"/>
  <c r="H369" i="1"/>
  <c r="A401" i="1" l="1"/>
  <c r="C401" i="1"/>
  <c r="D401" i="1" s="1"/>
  <c r="I369" i="1"/>
  <c r="B401" i="1" l="1"/>
  <c r="E401" i="1"/>
  <c r="F401" i="1" s="1"/>
  <c r="G401" i="1"/>
  <c r="H370" i="1"/>
  <c r="A402" i="1" l="1"/>
  <c r="C402" i="1"/>
  <c r="D402" i="1" s="1"/>
  <c r="I370" i="1"/>
  <c r="B402" i="1" l="1"/>
  <c r="E402" i="1"/>
  <c r="F402" i="1" s="1"/>
  <c r="G402" i="1"/>
  <c r="H371" i="1"/>
  <c r="A403" i="1" l="1"/>
  <c r="C403" i="1"/>
  <c r="D403" i="1" s="1"/>
  <c r="I371" i="1"/>
  <c r="B403" i="1" l="1"/>
  <c r="E403" i="1"/>
  <c r="F403" i="1" s="1"/>
  <c r="G403" i="1"/>
  <c r="H372" i="1"/>
  <c r="A404" i="1" l="1"/>
  <c r="C404" i="1"/>
  <c r="D404" i="1" s="1"/>
  <c r="I372" i="1"/>
  <c r="E404" i="1" l="1"/>
  <c r="F404" i="1" s="1"/>
  <c r="G404" i="1"/>
  <c r="B404" i="1"/>
  <c r="H373" i="1"/>
  <c r="A405" i="1" l="1"/>
  <c r="C405" i="1"/>
  <c r="D405" i="1" s="1"/>
  <c r="I373" i="1"/>
  <c r="B405" i="1" l="1"/>
  <c r="G405" i="1"/>
  <c r="E405" i="1"/>
  <c r="F405" i="1" s="1"/>
  <c r="H374" i="1"/>
  <c r="A406" i="1" l="1"/>
  <c r="C406" i="1"/>
  <c r="D406" i="1" s="1"/>
  <c r="I374" i="1"/>
  <c r="G406" i="1" l="1"/>
  <c r="B406" i="1"/>
  <c r="E406" i="1"/>
  <c r="F406" i="1" s="1"/>
  <c r="H375" i="1"/>
  <c r="A407" i="1" l="1"/>
  <c r="C407" i="1"/>
  <c r="D407" i="1" s="1"/>
  <c r="I375" i="1"/>
  <c r="E407" i="1" l="1"/>
  <c r="F407" i="1" s="1"/>
  <c r="G407" i="1"/>
  <c r="B407" i="1"/>
  <c r="H376" i="1"/>
  <c r="C408" i="1" l="1"/>
  <c r="D408" i="1" s="1"/>
  <c r="A408" i="1"/>
  <c r="I376" i="1"/>
  <c r="B408" i="1" l="1"/>
  <c r="E408" i="1"/>
  <c r="F408" i="1" s="1"/>
  <c r="G408" i="1"/>
  <c r="H377" i="1"/>
  <c r="C409" i="1" l="1"/>
  <c r="D409" i="1" s="1"/>
  <c r="A409" i="1"/>
  <c r="I377" i="1"/>
  <c r="G409" i="1" l="1"/>
  <c r="B409" i="1"/>
  <c r="E409" i="1"/>
  <c r="F409" i="1" s="1"/>
  <c r="H378" i="1"/>
  <c r="A410" i="1" l="1"/>
  <c r="C410" i="1"/>
  <c r="D410" i="1" s="1"/>
  <c r="I378" i="1"/>
  <c r="E410" i="1" l="1"/>
  <c r="F410" i="1" s="1"/>
  <c r="B410" i="1"/>
  <c r="G410" i="1"/>
  <c r="H379" i="1"/>
  <c r="C411" i="1" l="1"/>
  <c r="D411" i="1" s="1"/>
  <c r="A411" i="1"/>
  <c r="I379" i="1"/>
  <c r="G411" i="1" l="1"/>
  <c r="B411" i="1"/>
  <c r="E411" i="1"/>
  <c r="F411" i="1" s="1"/>
  <c r="H380" i="1"/>
  <c r="C412" i="1" l="1"/>
  <c r="D412" i="1" s="1"/>
  <c r="A412" i="1"/>
  <c r="I380" i="1"/>
  <c r="G412" i="1" l="1"/>
  <c r="B412" i="1"/>
  <c r="E412" i="1"/>
  <c r="F412" i="1" s="1"/>
  <c r="H381" i="1"/>
  <c r="A413" i="1" l="1"/>
  <c r="C413" i="1"/>
  <c r="D413" i="1" s="1"/>
  <c r="I381" i="1"/>
  <c r="B413" i="1" l="1"/>
  <c r="E413" i="1"/>
  <c r="F413" i="1" s="1"/>
  <c r="G413" i="1"/>
  <c r="H382" i="1"/>
  <c r="C414" i="1" l="1"/>
  <c r="D414" i="1" s="1"/>
  <c r="A414" i="1"/>
  <c r="I382" i="1"/>
  <c r="B414" i="1" l="1"/>
  <c r="E414" i="1"/>
  <c r="F414" i="1" s="1"/>
  <c r="G414" i="1"/>
  <c r="H383" i="1"/>
  <c r="A415" i="1" l="1"/>
  <c r="C415" i="1"/>
  <c r="D415" i="1" s="1"/>
  <c r="I383" i="1"/>
  <c r="B415" i="1" l="1"/>
  <c r="E415" i="1"/>
  <c r="F415" i="1" s="1"/>
  <c r="G415" i="1"/>
  <c r="H384" i="1"/>
  <c r="C416" i="1" l="1"/>
  <c r="D416" i="1" s="1"/>
  <c r="A416" i="1"/>
  <c r="I384" i="1"/>
  <c r="E416" i="1" l="1"/>
  <c r="F416" i="1" s="1"/>
  <c r="B416" i="1"/>
  <c r="G416" i="1"/>
  <c r="H385" i="1"/>
  <c r="A417" i="1" l="1"/>
  <c r="C417" i="1"/>
  <c r="D417" i="1" s="1"/>
  <c r="I385" i="1"/>
  <c r="B417" i="1" l="1"/>
  <c r="G417" i="1"/>
  <c r="E417" i="1"/>
  <c r="F417" i="1" s="1"/>
  <c r="H386" i="1"/>
  <c r="C418" i="1" l="1"/>
  <c r="D418" i="1" s="1"/>
  <c r="A418" i="1"/>
  <c r="I386" i="1"/>
  <c r="E418" i="1" l="1"/>
  <c r="F418" i="1" s="1"/>
  <c r="G418" i="1"/>
  <c r="B418" i="1"/>
  <c r="H387" i="1"/>
  <c r="A419" i="1" l="1"/>
  <c r="C419" i="1"/>
  <c r="D419" i="1" s="1"/>
  <c r="I387" i="1"/>
  <c r="B419" i="1" l="1"/>
  <c r="E419" i="1"/>
  <c r="F419" i="1" s="1"/>
  <c r="G419" i="1"/>
  <c r="H388" i="1"/>
  <c r="A420" i="1" l="1"/>
  <c r="C420" i="1"/>
  <c r="D420" i="1" s="1"/>
  <c r="I388" i="1"/>
  <c r="B420" i="1" l="1"/>
  <c r="E420" i="1"/>
  <c r="F420" i="1" s="1"/>
  <c r="G420" i="1"/>
  <c r="H389" i="1"/>
  <c r="C421" i="1" l="1"/>
  <c r="D421" i="1" s="1"/>
  <c r="A421" i="1"/>
  <c r="I389" i="1"/>
  <c r="E421" i="1" l="1"/>
  <c r="F421" i="1" s="1"/>
  <c r="G421" i="1"/>
  <c r="B421" i="1"/>
  <c r="H390" i="1"/>
  <c r="A422" i="1" l="1"/>
  <c r="C422" i="1"/>
  <c r="D422" i="1" s="1"/>
  <c r="I390" i="1"/>
  <c r="B422" i="1" l="1"/>
  <c r="E422" i="1"/>
  <c r="F422" i="1" s="1"/>
  <c r="G422" i="1"/>
  <c r="H391" i="1"/>
  <c r="A423" i="1" l="1"/>
  <c r="C423" i="1"/>
  <c r="D423" i="1" s="1"/>
  <c r="I391" i="1"/>
  <c r="G423" i="1" l="1"/>
  <c r="B423" i="1"/>
  <c r="E423" i="1"/>
  <c r="F423" i="1" s="1"/>
  <c r="H392" i="1"/>
  <c r="C424" i="1" l="1"/>
  <c r="D424" i="1" s="1"/>
  <c r="A424" i="1"/>
  <c r="I392" i="1"/>
  <c r="E424" i="1" l="1"/>
  <c r="F424" i="1" s="1"/>
  <c r="B424" i="1"/>
  <c r="G424" i="1"/>
  <c r="H393" i="1"/>
  <c r="C425" i="1" l="1"/>
  <c r="D425" i="1" s="1"/>
  <c r="A425" i="1"/>
  <c r="I393" i="1"/>
  <c r="B425" i="1" l="1"/>
  <c r="E425" i="1"/>
  <c r="F425" i="1" s="1"/>
  <c r="G425" i="1"/>
  <c r="H394" i="1"/>
  <c r="I394" i="1"/>
  <c r="C426" i="1" l="1"/>
  <c r="D426" i="1" s="1"/>
  <c r="A426" i="1"/>
  <c r="H395" i="1"/>
  <c r="E426" i="1" l="1"/>
  <c r="F426" i="1" s="1"/>
  <c r="B426" i="1"/>
  <c r="G426" i="1"/>
  <c r="I395" i="1"/>
  <c r="A427" i="1" l="1"/>
  <c r="C427" i="1"/>
  <c r="D427" i="1" s="1"/>
  <c r="H396" i="1"/>
  <c r="G427" i="1" l="1"/>
  <c r="E427" i="1"/>
  <c r="F427" i="1" s="1"/>
  <c r="B427" i="1"/>
  <c r="I396" i="1"/>
  <c r="A428" i="1" l="1"/>
  <c r="C428" i="1"/>
  <c r="D428" i="1" s="1"/>
  <c r="H397" i="1"/>
  <c r="G428" i="1" l="1"/>
  <c r="B428" i="1"/>
  <c r="E428" i="1"/>
  <c r="F428" i="1" s="1"/>
  <c r="I397" i="1"/>
  <c r="A429" i="1" l="1"/>
  <c r="C429" i="1"/>
  <c r="D429" i="1" s="1"/>
  <c r="H398" i="1"/>
  <c r="B429" i="1" l="1"/>
  <c r="E429" i="1"/>
  <c r="F429" i="1" s="1"/>
  <c r="G429" i="1"/>
  <c r="I398" i="1"/>
  <c r="A430" i="1" l="1"/>
  <c r="C430" i="1"/>
  <c r="D430" i="1" s="1"/>
  <c r="H399" i="1"/>
  <c r="G430" i="1" l="1"/>
  <c r="B430" i="1"/>
  <c r="E430" i="1"/>
  <c r="F430" i="1" s="1"/>
  <c r="I399" i="1"/>
  <c r="C431" i="1" l="1"/>
  <c r="D431" i="1" s="1"/>
  <c r="A431" i="1"/>
  <c r="H400" i="1"/>
  <c r="B431" i="1" l="1"/>
  <c r="G431" i="1"/>
  <c r="E431" i="1"/>
  <c r="F431" i="1" s="1"/>
  <c r="I400" i="1"/>
  <c r="A432" i="1" l="1"/>
  <c r="C432" i="1"/>
  <c r="D432" i="1" s="1"/>
  <c r="H401" i="1"/>
  <c r="B432" i="1" l="1"/>
  <c r="G432" i="1"/>
  <c r="E432" i="1"/>
  <c r="F432" i="1" s="1"/>
  <c r="I401" i="1"/>
  <c r="A433" i="1" l="1"/>
  <c r="C433" i="1"/>
  <c r="D433" i="1" s="1"/>
  <c r="H402" i="1"/>
  <c r="G433" i="1" l="1"/>
  <c r="B433" i="1"/>
  <c r="E433" i="1"/>
  <c r="F433" i="1" s="1"/>
  <c r="I402" i="1"/>
  <c r="C434" i="1" l="1"/>
  <c r="D434" i="1" s="1"/>
  <c r="A434" i="1"/>
  <c r="H403" i="1"/>
  <c r="B434" i="1" l="1"/>
  <c r="G434" i="1"/>
  <c r="E434" i="1"/>
  <c r="F434" i="1" s="1"/>
  <c r="I403" i="1"/>
  <c r="A435" i="1" l="1"/>
  <c r="C435" i="1"/>
  <c r="D435" i="1" s="1"/>
  <c r="H404" i="1"/>
  <c r="B435" i="1" l="1"/>
  <c r="E435" i="1"/>
  <c r="F435" i="1" s="1"/>
  <c r="G435" i="1"/>
  <c r="I404" i="1"/>
  <c r="C436" i="1" l="1"/>
  <c r="D436" i="1" s="1"/>
  <c r="A436" i="1"/>
  <c r="H405" i="1"/>
  <c r="B436" i="1" l="1"/>
  <c r="G436" i="1"/>
  <c r="E436" i="1"/>
  <c r="F436" i="1" s="1"/>
  <c r="I405" i="1"/>
  <c r="A437" i="1" l="1"/>
  <c r="C437" i="1"/>
  <c r="D437" i="1" s="1"/>
  <c r="H406" i="1"/>
  <c r="B437" i="1" l="1"/>
  <c r="E437" i="1"/>
  <c r="F437" i="1" s="1"/>
  <c r="G437" i="1"/>
  <c r="I406" i="1"/>
  <c r="A438" i="1" l="1"/>
  <c r="C438" i="1"/>
  <c r="D438" i="1" s="1"/>
  <c r="H407" i="1"/>
  <c r="E438" i="1" l="1"/>
  <c r="F438" i="1" s="1"/>
  <c r="B438" i="1"/>
  <c r="G438" i="1"/>
  <c r="I407" i="1"/>
  <c r="C439" i="1" l="1"/>
  <c r="D439" i="1" s="1"/>
  <c r="A439" i="1"/>
  <c r="H408" i="1"/>
  <c r="E439" i="1" l="1"/>
  <c r="F439" i="1" s="1"/>
  <c r="G439" i="1"/>
  <c r="B439" i="1"/>
  <c r="I408" i="1"/>
  <c r="C440" i="1" l="1"/>
  <c r="D440" i="1" s="1"/>
  <c r="A440" i="1"/>
  <c r="H409" i="1"/>
  <c r="B440" i="1" l="1"/>
  <c r="E440" i="1"/>
  <c r="F440" i="1" s="1"/>
  <c r="G440" i="1"/>
  <c r="I409" i="1"/>
  <c r="A441" i="1" l="1"/>
  <c r="C441" i="1"/>
  <c r="D441" i="1" s="1"/>
  <c r="H410" i="1"/>
  <c r="B441" i="1" l="1"/>
  <c r="E441" i="1"/>
  <c r="F441" i="1" s="1"/>
  <c r="G441" i="1"/>
  <c r="I410" i="1"/>
  <c r="C442" i="1" l="1"/>
  <c r="D442" i="1" s="1"/>
  <c r="A442" i="1"/>
  <c r="H411" i="1"/>
  <c r="E442" i="1" l="1"/>
  <c r="F442" i="1" s="1"/>
  <c r="G442" i="1"/>
  <c r="B442" i="1"/>
  <c r="I411" i="1"/>
  <c r="A443" i="1" l="1"/>
  <c r="C443" i="1"/>
  <c r="D443" i="1" s="1"/>
  <c r="H412" i="1"/>
  <c r="E443" i="1" l="1"/>
  <c r="F443" i="1" s="1"/>
  <c r="B443" i="1"/>
  <c r="G443" i="1"/>
  <c r="I412" i="1"/>
  <c r="C444" i="1" l="1"/>
  <c r="D444" i="1" s="1"/>
  <c r="A444" i="1"/>
  <c r="H413" i="1"/>
  <c r="E444" i="1" l="1"/>
  <c r="F444" i="1" s="1"/>
  <c r="B444" i="1"/>
  <c r="G444" i="1"/>
  <c r="I413" i="1"/>
  <c r="A445" i="1" l="1"/>
  <c r="C445" i="1"/>
  <c r="D445" i="1" s="1"/>
  <c r="H414" i="1"/>
  <c r="G445" i="1" l="1"/>
  <c r="B445" i="1"/>
  <c r="E445" i="1"/>
  <c r="F445" i="1" s="1"/>
  <c r="I414" i="1"/>
  <c r="A446" i="1" l="1"/>
  <c r="C446" i="1"/>
  <c r="D446" i="1" s="1"/>
  <c r="H415" i="1"/>
  <c r="E446" i="1" l="1"/>
  <c r="F446" i="1" s="1"/>
  <c r="G446" i="1"/>
  <c r="B446" i="1"/>
  <c r="I415" i="1"/>
  <c r="A447" i="1" l="1"/>
  <c r="C447" i="1"/>
  <c r="D447" i="1" s="1"/>
  <c r="H416" i="1"/>
  <c r="E447" i="1" l="1"/>
  <c r="F447" i="1" s="1"/>
  <c r="G447" i="1"/>
  <c r="B447" i="1"/>
  <c r="I416" i="1"/>
  <c r="A448" i="1" l="1"/>
  <c r="C448" i="1"/>
  <c r="D448" i="1" s="1"/>
  <c r="H417" i="1"/>
  <c r="B448" i="1" l="1"/>
  <c r="E448" i="1"/>
  <c r="F448" i="1" s="1"/>
  <c r="G448" i="1"/>
  <c r="I417" i="1"/>
  <c r="C449" i="1" l="1"/>
  <c r="D449" i="1" s="1"/>
  <c r="A449" i="1"/>
  <c r="H418" i="1"/>
  <c r="B449" i="1" l="1"/>
  <c r="E449" i="1"/>
  <c r="F449" i="1" s="1"/>
  <c r="G449" i="1"/>
  <c r="I418" i="1"/>
  <c r="C450" i="1" l="1"/>
  <c r="D450" i="1" s="1"/>
  <c r="A450" i="1"/>
  <c r="H419" i="1"/>
  <c r="B450" i="1" l="1"/>
  <c r="E450" i="1"/>
  <c r="F450" i="1" s="1"/>
  <c r="G450" i="1"/>
  <c r="I419" i="1"/>
  <c r="A451" i="1" l="1"/>
  <c r="C451" i="1"/>
  <c r="D451" i="1" s="1"/>
  <c r="H420" i="1"/>
  <c r="B451" i="1" l="1"/>
  <c r="E451" i="1"/>
  <c r="F451" i="1" s="1"/>
  <c r="G451" i="1"/>
  <c r="I420" i="1"/>
  <c r="A452" i="1" l="1"/>
  <c r="C452" i="1"/>
  <c r="D452" i="1" s="1"/>
  <c r="H421" i="1"/>
  <c r="E452" i="1" l="1"/>
  <c r="F452" i="1" s="1"/>
  <c r="B452" i="1"/>
  <c r="G452" i="1"/>
  <c r="I421" i="1"/>
  <c r="A453" i="1" l="1"/>
  <c r="C453" i="1"/>
  <c r="D453" i="1" s="1"/>
  <c r="H422" i="1"/>
  <c r="B453" i="1" l="1"/>
  <c r="E453" i="1"/>
  <c r="F453" i="1" s="1"/>
  <c r="G453" i="1"/>
  <c r="I422" i="1"/>
  <c r="A454" i="1" l="1"/>
  <c r="C454" i="1"/>
  <c r="D454" i="1" s="1"/>
  <c r="H423" i="1"/>
  <c r="B454" i="1" l="1"/>
  <c r="E454" i="1"/>
  <c r="F454" i="1" s="1"/>
  <c r="G454" i="1"/>
  <c r="I423" i="1"/>
  <c r="C455" i="1" l="1"/>
  <c r="D455" i="1" s="1"/>
  <c r="A455" i="1"/>
  <c r="H424" i="1"/>
  <c r="E455" i="1" l="1"/>
  <c r="F455" i="1" s="1"/>
  <c r="G455" i="1"/>
  <c r="B455" i="1"/>
  <c r="I424" i="1"/>
  <c r="A456" i="1" l="1"/>
  <c r="C456" i="1"/>
  <c r="D456" i="1" s="1"/>
  <c r="H425" i="1"/>
  <c r="E456" i="1" l="1"/>
  <c r="F456" i="1" s="1"/>
  <c r="G456" i="1"/>
  <c r="B456" i="1"/>
  <c r="I425" i="1"/>
  <c r="A457" i="1" l="1"/>
  <c r="C457" i="1"/>
  <c r="D457" i="1" s="1"/>
  <c r="H426" i="1"/>
  <c r="E457" i="1" l="1"/>
  <c r="F457" i="1" s="1"/>
  <c r="G457" i="1"/>
  <c r="B457" i="1"/>
  <c r="I426" i="1"/>
  <c r="A458" i="1" l="1"/>
  <c r="C458" i="1"/>
  <c r="D458" i="1" s="1"/>
  <c r="H427" i="1"/>
  <c r="B458" i="1" l="1"/>
  <c r="E458" i="1"/>
  <c r="F458" i="1" s="1"/>
  <c r="G458" i="1"/>
  <c r="I427" i="1"/>
  <c r="C459" i="1" l="1"/>
  <c r="D459" i="1" s="1"/>
  <c r="A459" i="1"/>
  <c r="H428" i="1"/>
  <c r="G459" i="1" l="1"/>
  <c r="E459" i="1"/>
  <c r="F459" i="1" s="1"/>
  <c r="B459" i="1"/>
  <c r="I428" i="1"/>
  <c r="A460" i="1" l="1"/>
  <c r="C460" i="1"/>
  <c r="D460" i="1" s="1"/>
  <c r="H429" i="1"/>
  <c r="B460" i="1" l="1"/>
  <c r="E460" i="1"/>
  <c r="F460" i="1" s="1"/>
  <c r="G460" i="1"/>
  <c r="I429" i="1"/>
  <c r="A461" i="1" l="1"/>
  <c r="C461" i="1"/>
  <c r="D461" i="1" s="1"/>
  <c r="H430" i="1"/>
  <c r="B461" i="1" l="1"/>
  <c r="E461" i="1"/>
  <c r="F461" i="1" s="1"/>
  <c r="G461" i="1"/>
  <c r="I430" i="1"/>
  <c r="C462" i="1" l="1"/>
  <c r="D462" i="1" s="1"/>
  <c r="A462" i="1"/>
  <c r="H431" i="1"/>
  <c r="B462" i="1" l="1"/>
  <c r="E462" i="1"/>
  <c r="F462" i="1" s="1"/>
  <c r="G462" i="1"/>
  <c r="I431" i="1"/>
  <c r="A463" i="1" l="1"/>
  <c r="C463" i="1"/>
  <c r="D463" i="1" s="1"/>
  <c r="H432" i="1"/>
  <c r="B463" i="1" l="1"/>
  <c r="E463" i="1"/>
  <c r="F463" i="1" s="1"/>
  <c r="G463" i="1"/>
  <c r="I432" i="1"/>
  <c r="A464" i="1" l="1"/>
  <c r="C464" i="1"/>
  <c r="D464" i="1" s="1"/>
  <c r="H433" i="1"/>
  <c r="E464" i="1" l="1"/>
  <c r="F464" i="1" s="1"/>
  <c r="G464" i="1"/>
  <c r="B464" i="1"/>
  <c r="I433" i="1"/>
  <c r="A465" i="1" l="1"/>
  <c r="C465" i="1"/>
  <c r="D465" i="1" s="1"/>
  <c r="H434" i="1"/>
  <c r="B465" i="1" l="1"/>
  <c r="G465" i="1"/>
  <c r="E465" i="1"/>
  <c r="F465" i="1" s="1"/>
  <c r="I434" i="1"/>
  <c r="C466" i="1" l="1"/>
  <c r="D466" i="1" s="1"/>
  <c r="A466" i="1"/>
  <c r="H435" i="1"/>
  <c r="G466" i="1" l="1"/>
  <c r="B466" i="1"/>
  <c r="E466" i="1"/>
  <c r="F466" i="1" s="1"/>
  <c r="I435" i="1"/>
  <c r="A467" i="1" l="1"/>
  <c r="C467" i="1"/>
  <c r="D467" i="1" s="1"/>
  <c r="H436" i="1"/>
  <c r="B467" i="1" l="1"/>
  <c r="G467" i="1"/>
  <c r="E467" i="1"/>
  <c r="F467" i="1" s="1"/>
  <c r="I436" i="1"/>
  <c r="C468" i="1" l="1"/>
  <c r="D468" i="1" s="1"/>
  <c r="A468" i="1"/>
  <c r="H437" i="1"/>
  <c r="E468" i="1" l="1"/>
  <c r="F468" i="1" s="1"/>
  <c r="G468" i="1"/>
  <c r="B468" i="1"/>
  <c r="I437" i="1"/>
  <c r="A469" i="1" l="1"/>
  <c r="C469" i="1"/>
  <c r="D469" i="1" s="1"/>
  <c r="H438" i="1"/>
  <c r="B469" i="1" l="1"/>
  <c r="E469" i="1"/>
  <c r="F469" i="1" s="1"/>
  <c r="G469" i="1"/>
  <c r="I438" i="1"/>
  <c r="A470" i="1" l="1"/>
  <c r="C470" i="1"/>
  <c r="D470" i="1" s="1"/>
  <c r="H439" i="1"/>
  <c r="E470" i="1" l="1"/>
  <c r="F470" i="1" s="1"/>
  <c r="B470" i="1"/>
  <c r="G470" i="1"/>
  <c r="I439" i="1"/>
  <c r="C471" i="1" l="1"/>
  <c r="D471" i="1" s="1"/>
  <c r="A471" i="1"/>
  <c r="H440" i="1"/>
  <c r="E471" i="1" l="1"/>
  <c r="F471" i="1" s="1"/>
  <c r="G471" i="1"/>
  <c r="B471" i="1"/>
  <c r="I440" i="1"/>
  <c r="A472" i="1" l="1"/>
  <c r="C472" i="1"/>
  <c r="D472" i="1" s="1"/>
  <c r="H441" i="1"/>
  <c r="B472" i="1" l="1"/>
  <c r="E472" i="1"/>
  <c r="F472" i="1" s="1"/>
  <c r="G472" i="1"/>
  <c r="I441" i="1"/>
  <c r="C473" i="1" l="1"/>
  <c r="D473" i="1" s="1"/>
  <c r="A473" i="1"/>
  <c r="H442" i="1"/>
  <c r="E473" i="1" l="1"/>
  <c r="F473" i="1" s="1"/>
  <c r="G473" i="1"/>
  <c r="B473" i="1"/>
  <c r="I442" i="1"/>
  <c r="A474" i="1" l="1"/>
  <c r="C474" i="1"/>
  <c r="D474" i="1" s="1"/>
  <c r="H443" i="1"/>
  <c r="B474" i="1" l="1"/>
  <c r="E474" i="1"/>
  <c r="F474" i="1" s="1"/>
  <c r="G474" i="1"/>
  <c r="I443" i="1"/>
  <c r="C475" i="1" l="1"/>
  <c r="D475" i="1" s="1"/>
  <c r="A475" i="1"/>
  <c r="H444" i="1"/>
  <c r="G475" i="1" l="1"/>
  <c r="E475" i="1"/>
  <c r="F475" i="1" s="1"/>
  <c r="B475" i="1"/>
  <c r="I444" i="1"/>
  <c r="A476" i="1" l="1"/>
  <c r="C476" i="1"/>
  <c r="D476" i="1" s="1"/>
  <c r="H445" i="1"/>
  <c r="B476" i="1" l="1"/>
  <c r="E476" i="1"/>
  <c r="F476" i="1" s="1"/>
  <c r="G476" i="1"/>
  <c r="I445" i="1"/>
  <c r="A477" i="1" l="1"/>
  <c r="C477" i="1"/>
  <c r="D477" i="1" s="1"/>
  <c r="H446" i="1"/>
  <c r="B477" i="1" l="1"/>
  <c r="G477" i="1"/>
  <c r="E477" i="1"/>
  <c r="F477" i="1" s="1"/>
  <c r="I446" i="1"/>
  <c r="C478" i="1" l="1"/>
  <c r="D478" i="1" s="1"/>
  <c r="A478" i="1"/>
  <c r="H447" i="1"/>
  <c r="B478" i="1" l="1"/>
  <c r="E478" i="1"/>
  <c r="F478" i="1" s="1"/>
  <c r="G478" i="1"/>
  <c r="I447" i="1"/>
  <c r="A479" i="1" l="1"/>
  <c r="C479" i="1"/>
  <c r="D479" i="1" s="1"/>
  <c r="H448" i="1"/>
  <c r="B479" i="1" l="1"/>
  <c r="G479" i="1"/>
  <c r="E479" i="1"/>
  <c r="F479" i="1" s="1"/>
  <c r="I448" i="1"/>
  <c r="C480" i="1" l="1"/>
  <c r="D480" i="1" s="1"/>
  <c r="A480" i="1"/>
  <c r="H449" i="1"/>
  <c r="E480" i="1" l="1"/>
  <c r="F480" i="1" s="1"/>
  <c r="G480" i="1"/>
  <c r="B480" i="1"/>
  <c r="I449" i="1"/>
  <c r="A481" i="1" l="1"/>
  <c r="C481" i="1"/>
  <c r="D481" i="1" s="1"/>
  <c r="H450" i="1"/>
  <c r="B481" i="1" l="1"/>
  <c r="G481" i="1"/>
  <c r="E481" i="1"/>
  <c r="F481" i="1" s="1"/>
  <c r="I450" i="1"/>
  <c r="C482" i="1" l="1"/>
  <c r="D482" i="1" s="1"/>
  <c r="A482" i="1"/>
  <c r="H451" i="1"/>
  <c r="G482" i="1" l="1"/>
  <c r="E482" i="1"/>
  <c r="F482" i="1" s="1"/>
  <c r="B482" i="1"/>
  <c r="I451" i="1"/>
  <c r="A483" i="1" l="1"/>
  <c r="C483" i="1"/>
  <c r="D483" i="1" s="1"/>
  <c r="H452" i="1"/>
  <c r="B483" i="1" l="1"/>
  <c r="E483" i="1"/>
  <c r="F483" i="1" s="1"/>
  <c r="G483" i="1"/>
  <c r="I452" i="1"/>
  <c r="A484" i="1" l="1"/>
  <c r="C484" i="1"/>
  <c r="D484" i="1" s="1"/>
  <c r="H453" i="1"/>
  <c r="E484" i="1" l="1"/>
  <c r="F484" i="1" s="1"/>
  <c r="B484" i="1"/>
  <c r="G484" i="1"/>
  <c r="I453" i="1"/>
  <c r="A485" i="1" l="1"/>
  <c r="C485" i="1"/>
  <c r="D485" i="1" s="1"/>
  <c r="H454" i="1"/>
  <c r="B485" i="1" l="1"/>
  <c r="E485" i="1"/>
  <c r="F485" i="1" s="1"/>
  <c r="G485" i="1"/>
  <c r="I454" i="1"/>
  <c r="A486" i="1" l="1"/>
  <c r="C486" i="1"/>
  <c r="D486" i="1" s="1"/>
  <c r="H455" i="1"/>
  <c r="B486" i="1" l="1"/>
  <c r="E486" i="1"/>
  <c r="F486" i="1" s="1"/>
  <c r="G486" i="1"/>
  <c r="I455" i="1"/>
  <c r="C487" i="1" l="1"/>
  <c r="D487" i="1" s="1"/>
  <c r="A487" i="1"/>
  <c r="H456" i="1"/>
  <c r="I456" i="1"/>
  <c r="G487" i="1" l="1"/>
  <c r="E487" i="1"/>
  <c r="F487" i="1" s="1"/>
  <c r="B487" i="1"/>
  <c r="H457" i="1"/>
  <c r="A488" i="1" l="1"/>
  <c r="C488" i="1"/>
  <c r="D488" i="1" s="1"/>
  <c r="I457" i="1"/>
  <c r="B488" i="1" l="1"/>
  <c r="G488" i="1"/>
  <c r="E488" i="1"/>
  <c r="F488" i="1" s="1"/>
  <c r="H458" i="1"/>
  <c r="A489" i="1" l="1"/>
  <c r="C489" i="1"/>
  <c r="D489" i="1" s="1"/>
  <c r="I458" i="1"/>
  <c r="E489" i="1" l="1"/>
  <c r="F489" i="1" s="1"/>
  <c r="G489" i="1"/>
  <c r="B489" i="1"/>
  <c r="H459" i="1"/>
  <c r="C490" i="1" l="1"/>
  <c r="D490" i="1" s="1"/>
  <c r="A490" i="1"/>
  <c r="I459" i="1"/>
  <c r="B490" i="1" l="1"/>
  <c r="E490" i="1"/>
  <c r="F490" i="1" s="1"/>
  <c r="G490" i="1"/>
  <c r="H460" i="1"/>
  <c r="C491" i="1" l="1"/>
  <c r="D491" i="1" s="1"/>
  <c r="A491" i="1"/>
  <c r="I460" i="1"/>
  <c r="G491" i="1" l="1"/>
  <c r="E491" i="1"/>
  <c r="F491" i="1" s="1"/>
  <c r="B491" i="1"/>
  <c r="H461" i="1"/>
  <c r="C492" i="1" l="1"/>
  <c r="D492" i="1" s="1"/>
  <c r="A492" i="1"/>
  <c r="I461" i="1"/>
  <c r="B492" i="1" l="1"/>
  <c r="E492" i="1"/>
  <c r="F492" i="1" s="1"/>
  <c r="G492" i="1"/>
  <c r="H462" i="1"/>
  <c r="C493" i="1" l="1"/>
  <c r="D493" i="1" s="1"/>
  <c r="A493" i="1"/>
  <c r="I462" i="1"/>
  <c r="B493" i="1" l="1"/>
  <c r="E493" i="1"/>
  <c r="F493" i="1" s="1"/>
  <c r="G493" i="1"/>
  <c r="H463" i="1"/>
  <c r="C494" i="1" l="1"/>
  <c r="D494" i="1" s="1"/>
  <c r="A494" i="1"/>
  <c r="I463" i="1"/>
  <c r="B494" i="1" l="1"/>
  <c r="E494" i="1"/>
  <c r="F494" i="1" s="1"/>
  <c r="G494" i="1"/>
  <c r="H464" i="1"/>
  <c r="C495" i="1" l="1"/>
  <c r="D495" i="1" s="1"/>
  <c r="A495" i="1"/>
  <c r="I464" i="1"/>
  <c r="G495" i="1" l="1"/>
  <c r="B495" i="1"/>
  <c r="E495" i="1"/>
  <c r="F495" i="1" s="1"/>
  <c r="H465" i="1"/>
  <c r="C496" i="1" l="1"/>
  <c r="D496" i="1" s="1"/>
  <c r="A496" i="1"/>
  <c r="I465" i="1"/>
  <c r="E496" i="1" l="1"/>
  <c r="F496" i="1" s="1"/>
  <c r="G496" i="1"/>
  <c r="B496" i="1"/>
  <c r="H466" i="1"/>
  <c r="A497" i="1" l="1"/>
  <c r="C497" i="1"/>
  <c r="D497" i="1" s="1"/>
  <c r="I466" i="1"/>
  <c r="B497" i="1" l="1"/>
  <c r="G497" i="1"/>
  <c r="E497" i="1"/>
  <c r="F497" i="1" s="1"/>
  <c r="H467" i="1"/>
  <c r="A498" i="1" l="1"/>
  <c r="C498" i="1"/>
  <c r="D498" i="1" s="1"/>
  <c r="I467" i="1"/>
  <c r="G498" i="1" l="1"/>
  <c r="E498" i="1"/>
  <c r="F498" i="1" s="1"/>
  <c r="B498" i="1"/>
  <c r="H468" i="1"/>
  <c r="A499" i="1" l="1"/>
  <c r="C499" i="1"/>
  <c r="D499" i="1" s="1"/>
  <c r="I468" i="1"/>
  <c r="B499" i="1" l="1"/>
  <c r="G499" i="1"/>
  <c r="E499" i="1"/>
  <c r="F499" i="1" s="1"/>
  <c r="H469" i="1"/>
  <c r="C500" i="1" l="1"/>
  <c r="D500" i="1" s="1"/>
  <c r="A500" i="1"/>
  <c r="I469" i="1"/>
  <c r="G500" i="1" l="1"/>
  <c r="B500" i="1"/>
  <c r="E500" i="1"/>
  <c r="F500" i="1" s="1"/>
  <c r="H470" i="1"/>
  <c r="I470" i="1" l="1"/>
  <c r="H471" i="1" l="1"/>
  <c r="I471" i="1" l="1"/>
  <c r="H472" i="1" l="1"/>
  <c r="I472" i="1" l="1"/>
  <c r="H473" i="1" l="1"/>
  <c r="I473" i="1" l="1"/>
  <c r="H474" i="1" l="1"/>
  <c r="I474" i="1" l="1"/>
  <c r="H475" i="1" l="1"/>
  <c r="I475" i="1" l="1"/>
  <c r="H476" i="1" l="1"/>
  <c r="I476" i="1" l="1"/>
  <c r="H477" i="1" l="1"/>
  <c r="I477" i="1" l="1"/>
  <c r="H478" i="1" l="1"/>
  <c r="I478" i="1" l="1"/>
  <c r="H479" i="1" l="1"/>
  <c r="I479" i="1" l="1"/>
  <c r="H480" i="1" l="1"/>
  <c r="I480" i="1" l="1"/>
  <c r="H481" i="1" l="1"/>
  <c r="I481" i="1" l="1"/>
  <c r="H482" i="1" l="1"/>
  <c r="I482" i="1" l="1"/>
  <c r="H483" i="1" l="1"/>
  <c r="I483" i="1" l="1"/>
  <c r="H484" i="1" l="1"/>
  <c r="I484" i="1" l="1"/>
  <c r="H485" i="1" l="1"/>
  <c r="I485" i="1" l="1"/>
  <c r="H486" i="1" l="1"/>
  <c r="I486" i="1" l="1"/>
  <c r="H487" i="1" l="1"/>
  <c r="I487" i="1" l="1"/>
  <c r="H488" i="1" l="1"/>
  <c r="I488" i="1" l="1"/>
  <c r="H489" i="1" l="1"/>
  <c r="I489" i="1" l="1"/>
  <c r="H490" i="1" l="1"/>
  <c r="I490" i="1" l="1"/>
  <c r="H491" i="1" l="1"/>
  <c r="I491" i="1" l="1"/>
  <c r="H492" i="1" l="1"/>
  <c r="I492" i="1" l="1"/>
  <c r="H493" i="1" l="1"/>
  <c r="I493" i="1" l="1"/>
  <c r="H494" i="1" l="1"/>
  <c r="I494" i="1" l="1"/>
  <c r="H495" i="1" l="1"/>
  <c r="I495" i="1" l="1"/>
  <c r="H496" i="1" l="1"/>
  <c r="I496" i="1" l="1"/>
  <c r="H497" i="1" l="1"/>
  <c r="I497" i="1" l="1"/>
  <c r="H498" i="1" l="1"/>
  <c r="I498" i="1" l="1"/>
  <c r="H499" i="1" l="1"/>
  <c r="I499" i="1" l="1"/>
  <c r="H500" i="1" l="1"/>
  <c r="I500" i="1" l="1"/>
  <c r="F2" i="1" l="1"/>
  <c r="K2" i="1" s="1"/>
  <c r="F3" i="1"/>
</calcChain>
</file>

<file path=xl/sharedStrings.xml><?xml version="1.0" encoding="utf-8"?>
<sst xmlns="http://schemas.openxmlformats.org/spreadsheetml/2006/main" count="27" uniqueCount="22">
  <si>
    <t>Intervallo [a, b]</t>
  </si>
  <si>
    <t>b]</t>
  </si>
  <si>
    <t>[a,</t>
  </si>
  <si>
    <t>f(x)</t>
  </si>
  <si>
    <t>x</t>
  </si>
  <si>
    <t>f(a)</t>
  </si>
  <si>
    <t>f(b)</t>
  </si>
  <si>
    <t>medio</t>
  </si>
  <si>
    <t>f(medio)</t>
  </si>
  <si>
    <t>dimensioni</t>
  </si>
  <si>
    <t>soluzione:</t>
  </si>
  <si>
    <t>iterazioni</t>
  </si>
  <si>
    <t>x_{n+1}</t>
  </si>
  <si>
    <t>x_n</t>
  </si>
  <si>
    <t>f'(x_n)</t>
  </si>
  <si>
    <t>f(x_n)</t>
  </si>
  <si>
    <t>BISEZIONE</t>
  </si>
  <si>
    <t>NEWTON</t>
  </si>
  <si>
    <t>y</t>
  </si>
  <si>
    <t>y'</t>
  </si>
  <si>
    <t>y"</t>
  </si>
  <si>
    <t>errore: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</si>
</sst>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4" fillId="4" borderId="0" applyNumberFormat="0" applyBorder="0" applyAlignment="0" applyProtection="0"/>
    <xf numFmtId="0" fontId="5" fillId="5" borderId="0" applyNumberFormat="0" applyBorder="0" applyAlignment="0" applyProtection="0"/>
  </cellStyleXfs>
  <cellXfs count="32">
    <xf numFmtId="0" fontId="0" fillId="0" borderId="0" xfId="0"/>
    <xf numFmtId="0" fontId="2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2" fillId="0" borderId="1" xfId="0" applyFont="1" applyBorder="1"/>
    <xf numFmtId="0" fontId="2" fillId="0" borderId="3" xfId="0" applyFont="1" applyBorder="1" applyAlignment="1">
      <alignment horizontal="center"/>
    </xf>
    <xf numFmtId="0" fontId="3" fillId="0" borderId="0" xfId="0" applyFont="1"/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2" fillId="0" borderId="0" xfId="0" applyFont="1" applyBorder="1" applyAlignment="1">
      <alignment horizontal="center"/>
    </xf>
    <xf numFmtId="0" fontId="5" fillId="5" borderId="0" xfId="2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3" borderId="5" xfId="0" applyFont="1" applyFill="1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7" xfId="0" applyBorder="1" applyAlignment="1">
      <alignment horizontal="center"/>
    </xf>
    <xf numFmtId="0" fontId="0" fillId="0" borderId="5" xfId="0" applyBorder="1"/>
    <xf numFmtId="0" fontId="0" fillId="0" borderId="3" xfId="0" applyBorder="1"/>
    <xf numFmtId="0" fontId="3" fillId="0" borderId="8" xfId="0" applyFont="1" applyBorder="1"/>
    <xf numFmtId="0" fontId="1" fillId="3" borderId="0" xfId="0" applyFont="1" applyFill="1" applyBorder="1"/>
    <xf numFmtId="0" fontId="1" fillId="3" borderId="6" xfId="0" applyFont="1" applyFill="1" applyBorder="1"/>
    <xf numFmtId="0" fontId="0" fillId="0" borderId="4" xfId="0" applyFont="1" applyBorder="1"/>
    <xf numFmtId="0" fontId="0" fillId="0" borderId="1" xfId="0" applyBorder="1"/>
    <xf numFmtId="0" fontId="0" fillId="0" borderId="7" xfId="0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0" fillId="0" borderId="8" xfId="0" applyBorder="1"/>
    <xf numFmtId="0" fontId="4" fillId="4" borderId="0" xfId="1"/>
    <xf numFmtId="0" fontId="4" fillId="4" borderId="0" xfId="1" applyAlignment="1">
      <alignment horizontal="right"/>
    </xf>
  </cellXfs>
  <cellStyles count="3">
    <cellStyle name="Neutrale" xfId="2" builtinId="28"/>
    <cellStyle name="Normale" xfId="0" builtinId="0"/>
    <cellStyle name="Valore non valido" xfId="1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381000</xdr:colOff>
      <xdr:row>1</xdr:row>
      <xdr:rowOff>19539</xdr:rowOff>
    </xdr:from>
    <xdr:to>
      <xdr:col>12</xdr:col>
      <xdr:colOff>781538</xdr:colOff>
      <xdr:row>3</xdr:row>
      <xdr:rowOff>0</xdr:rowOff>
    </xdr:to>
    <xdr:sp macro="[0]!COPIA_funzione" textlink="">
      <xdr:nvSpPr>
        <xdr:cNvPr id="2" name="Rettangolo arrotondato 1">
          <a:extLst>
            <a:ext uri="{FF2B5EF4-FFF2-40B4-BE49-F238E27FC236}">
              <a16:creationId xmlns:a16="http://schemas.microsoft.com/office/drawing/2014/main" id="{773F721A-2050-0E4C-8B67-E7F9D551C5FA}"/>
            </a:ext>
          </a:extLst>
        </xdr:cNvPr>
        <xdr:cNvSpPr/>
      </xdr:nvSpPr>
      <xdr:spPr>
        <a:xfrm>
          <a:off x="9241692" y="234462"/>
          <a:ext cx="1230923" cy="40053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 b="1"/>
            <a:t>RISOLVI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88C39-E093-E249-A3C2-546C5BAF60DE}">
  <sheetPr codeName="Foglio1"/>
  <dimension ref="A1:AF500"/>
  <sheetViews>
    <sheetView tabSelected="1" zoomScale="130" zoomScaleNormal="130" workbookViewId="0">
      <selection activeCell="K43" sqref="K43"/>
    </sheetView>
  </sheetViews>
  <sheetFormatPr baseColWidth="10" defaultRowHeight="16" x14ac:dyDescent="0.2"/>
  <cols>
    <col min="1" max="1" width="14.33203125" bestFit="1" customWidth="1"/>
    <col min="5" max="5" width="13" customWidth="1"/>
    <col min="6" max="6" width="12.83203125" bestFit="1" customWidth="1"/>
    <col min="7" max="7" width="10.6640625" customWidth="1"/>
    <col min="8" max="8" width="12.83203125" style="5" hidden="1" customWidth="1"/>
    <col min="9" max="9" width="13.5" style="5" customWidth="1"/>
    <col min="10" max="10" width="10.83203125" style="5"/>
    <col min="11" max="11" width="12.1640625" bestFit="1" customWidth="1"/>
    <col min="13" max="13" width="11.1640625" bestFit="1" customWidth="1"/>
    <col min="14" max="14" width="16" customWidth="1"/>
    <col min="15" max="16" width="11.1640625" customWidth="1"/>
    <col min="17" max="17" width="9.5" customWidth="1"/>
    <col min="18" max="26" width="0.1640625" hidden="1" customWidth="1"/>
    <col min="27" max="27" width="10.83203125" hidden="1" customWidth="1"/>
  </cols>
  <sheetData>
    <row r="1" spans="1:32" ht="17" thickBot="1" x14ac:dyDescent="0.25">
      <c r="B1" s="9"/>
      <c r="C1" s="9"/>
      <c r="E1" s="12" t="s">
        <v>16</v>
      </c>
      <c r="F1" s="13"/>
      <c r="G1" s="12" t="s">
        <v>17</v>
      </c>
      <c r="H1" s="17"/>
      <c r="I1" s="13"/>
    </row>
    <row r="2" spans="1:32" x14ac:dyDescent="0.2">
      <c r="A2" s="3" t="s">
        <v>0</v>
      </c>
      <c r="B2" s="6">
        <v>1</v>
      </c>
      <c r="C2" s="7">
        <v>10</v>
      </c>
      <c r="E2" s="14" t="s">
        <v>10</v>
      </c>
      <c r="F2" s="22">
        <f>VLOOKUP(0,H8:J500,2, FALSE())</f>
        <v>1.841097058450079</v>
      </c>
      <c r="G2" s="14" t="s">
        <v>10</v>
      </c>
      <c r="H2" s="21"/>
      <c r="I2" s="22">
        <f>VLOOKUP(0,O8:S500,5, FALSE())</f>
        <v>1.8410970584500788</v>
      </c>
      <c r="J2" s="31" t="s">
        <v>21</v>
      </c>
      <c r="K2" s="30">
        <f>ABS(F2-I2)</f>
        <v>2.2204460492503131E-16</v>
      </c>
    </row>
    <row r="3" spans="1:32" ht="17" thickBot="1" x14ac:dyDescent="0.25">
      <c r="A3" s="4" t="s">
        <v>3</v>
      </c>
      <c r="B3" s="2" t="s">
        <v>4</v>
      </c>
      <c r="C3" s="8" t="e">
        <f>B3*B3+LN(B3)-4</f>
        <v>#VALUE!</v>
      </c>
      <c r="E3" s="15" t="s">
        <v>11</v>
      </c>
      <c r="F3" s="16">
        <f>VLOOKUP(0,H8:J500,3, FALSE())</f>
        <v>50</v>
      </c>
      <c r="G3" s="15" t="s">
        <v>11</v>
      </c>
      <c r="H3" s="20"/>
      <c r="I3" s="23">
        <f>VLOOKUP(0,O8:S500,4, FALSE())</f>
        <v>7</v>
      </c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</row>
    <row r="4" spans="1:32" x14ac:dyDescent="0.2"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</row>
    <row r="5" spans="1:32" x14ac:dyDescent="0.2"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</row>
    <row r="6" spans="1:32" x14ac:dyDescent="0.2">
      <c r="A6" s="11" t="s">
        <v>16</v>
      </c>
      <c r="B6" s="11"/>
      <c r="C6" s="11"/>
      <c r="D6" s="11"/>
      <c r="E6" s="11"/>
      <c r="F6" s="11"/>
      <c r="G6" s="11"/>
      <c r="N6" s="11" t="s">
        <v>17</v>
      </c>
      <c r="O6" s="11"/>
      <c r="P6" s="11"/>
      <c r="Q6" s="11"/>
      <c r="V6" s="27"/>
      <c r="W6" s="27" t="s">
        <v>4</v>
      </c>
      <c r="X6" s="27" t="s">
        <v>18</v>
      </c>
      <c r="Y6" s="27" t="s">
        <v>19</v>
      </c>
      <c r="Z6" s="27" t="s">
        <v>20</v>
      </c>
      <c r="AA6" s="27"/>
      <c r="AB6" s="27"/>
      <c r="AC6" s="27"/>
      <c r="AD6" s="27"/>
      <c r="AE6" s="27"/>
      <c r="AF6" s="27"/>
    </row>
    <row r="7" spans="1:32" ht="17" thickBot="1" x14ac:dyDescent="0.25">
      <c r="A7" s="1" t="s">
        <v>2</v>
      </c>
      <c r="B7" s="1" t="s">
        <v>5</v>
      </c>
      <c r="C7" s="1" t="s">
        <v>1</v>
      </c>
      <c r="D7" s="1" t="s">
        <v>6</v>
      </c>
      <c r="E7" s="1" t="s">
        <v>7</v>
      </c>
      <c r="F7" s="1" t="s">
        <v>8</v>
      </c>
      <c r="G7" s="1" t="s">
        <v>9</v>
      </c>
      <c r="N7" s="1" t="s">
        <v>13</v>
      </c>
      <c r="O7" s="1" t="s">
        <v>15</v>
      </c>
      <c r="P7" s="1" t="s">
        <v>14</v>
      </c>
      <c r="Q7" s="1" t="s">
        <v>12</v>
      </c>
      <c r="R7" s="1"/>
      <c r="S7" s="1"/>
      <c r="T7" s="1"/>
      <c r="U7" s="1"/>
      <c r="V7" s="9"/>
      <c r="W7" s="27"/>
      <c r="X7" s="9"/>
      <c r="Y7" s="27"/>
      <c r="Z7" s="9"/>
      <c r="AA7" s="27"/>
      <c r="AB7" s="27"/>
      <c r="AC7" s="27"/>
      <c r="AD7" s="27"/>
      <c r="AE7" s="27"/>
      <c r="AF7" s="27"/>
    </row>
    <row r="8" spans="1:32" x14ac:dyDescent="0.2">
      <c r="A8">
        <f>B2</f>
        <v>1</v>
      </c>
      <c r="B8">
        <f>A8*A8+LN(A8)-4</f>
        <v>-3</v>
      </c>
      <c r="C8">
        <f>C2</f>
        <v>10</v>
      </c>
      <c r="D8">
        <f>C8*C8+LN(C8)-4</f>
        <v>98.30258509299405</v>
      </c>
      <c r="E8">
        <f>(A8+C8)/2</f>
        <v>5.5</v>
      </c>
      <c r="F8">
        <f>E8*E8+LN(E8)-4</f>
        <v>27.954748092238425</v>
      </c>
      <c r="G8">
        <f>ABS(A8-C8)</f>
        <v>9</v>
      </c>
      <c r="H8" s="5">
        <f>IF(A8=FALSE(), 999, F8)</f>
        <v>27.954748092238425</v>
      </c>
      <c r="I8" s="5">
        <f>E8</f>
        <v>5.5</v>
      </c>
      <c r="J8" s="5">
        <v>1</v>
      </c>
      <c r="N8">
        <f>IF(X10*Z10&gt;0,W10,IF(X17*Z17&gt;0,W17))</f>
        <v>10</v>
      </c>
      <c r="O8">
        <f t="shared" ref="O8:O71" si="0">N8*N8+LN(N8)-4</f>
        <v>98.30258509299405</v>
      </c>
      <c r="V8" s="27"/>
      <c r="W8" s="24">
        <f t="shared" ref="W7:W8" si="1">W9-1/99999</f>
        <v>0.99997999979999808</v>
      </c>
      <c r="X8" s="25">
        <f t="shared" ref="X8:X12" si="2">W8*W8+LN(W8)-4</f>
        <v>-3.0000600004000044</v>
      </c>
      <c r="Y8" s="25"/>
      <c r="Z8" s="26"/>
      <c r="AA8" s="27"/>
      <c r="AB8" s="27"/>
      <c r="AC8" s="27"/>
      <c r="AD8" s="27"/>
      <c r="AE8" s="27"/>
      <c r="AF8" s="27"/>
    </row>
    <row r="9" spans="1:32" x14ac:dyDescent="0.2">
      <c r="A9">
        <f>IF(B8*F8&lt;0, MIN(A8,E8), IF(D8*F8&lt;0, MIN(C8,E8)))</f>
        <v>1</v>
      </c>
      <c r="B9">
        <f>A9*A9+LN(A9)-4</f>
        <v>-3</v>
      </c>
      <c r="C9">
        <f>IF(B8*F8&lt;0, MAX(A8,E8), IF(D8*F8&lt;0, MAX(C8,E8)))</f>
        <v>5.5</v>
      </c>
      <c r="D9">
        <f>C9*C9+LN(C9)-4</f>
        <v>27.954748092238425</v>
      </c>
      <c r="E9">
        <f>(A9+C9)/2</f>
        <v>3.25</v>
      </c>
      <c r="F9">
        <f>E9*E9+LN(E9)-4</f>
        <v>7.7411549963416455</v>
      </c>
      <c r="G9">
        <f>ABS(A9-C9)</f>
        <v>4.5</v>
      </c>
      <c r="H9" s="5">
        <f>IF(A9=FALSE(), 999, F9)</f>
        <v>7.7411549963416455</v>
      </c>
      <c r="I9" s="5">
        <f>E9</f>
        <v>3.25</v>
      </c>
      <c r="J9" s="5">
        <v>2</v>
      </c>
      <c r="N9" s="10">
        <v>1</v>
      </c>
      <c r="O9" s="10">
        <f t="shared" si="0"/>
        <v>-3</v>
      </c>
      <c r="P9" s="10">
        <f>(O8-O10)/(N8-N10)</f>
        <v>11.255851961365472</v>
      </c>
      <c r="Q9" s="10">
        <f>N9-O9/P9</f>
        <v>1.2665280256258864</v>
      </c>
      <c r="R9">
        <v>1</v>
      </c>
      <c r="S9">
        <f>N9</f>
        <v>1</v>
      </c>
      <c r="V9" s="9"/>
      <c r="W9" s="18">
        <f>W10-1/99999</f>
        <v>0.99998999989999904</v>
      </c>
      <c r="X9" s="27">
        <f t="shared" si="2"/>
        <v>-3.0000300002500024</v>
      </c>
      <c r="Y9" s="27">
        <f t="shared" ref="Y7:Y9" si="3">(X8-X10)/(W8-W10)</f>
        <v>2.9999900000325597</v>
      </c>
      <c r="Z9" s="28"/>
      <c r="AA9" s="27"/>
      <c r="AB9" s="27"/>
      <c r="AC9" s="27"/>
      <c r="AD9" s="27"/>
      <c r="AE9" s="27"/>
      <c r="AF9" s="27"/>
    </row>
    <row r="10" spans="1:32" x14ac:dyDescent="0.2">
      <c r="A10">
        <f t="shared" ref="A10:A73" si="4">IF(B9*F9&lt;0, MIN(A9,E9), IF(D9*F9&lt;0, MIN(C9,E9)))</f>
        <v>1</v>
      </c>
      <c r="B10">
        <f t="shared" ref="B10:B73" si="5">A10*A10+LN(A10)-4</f>
        <v>-3</v>
      </c>
      <c r="C10">
        <f t="shared" ref="C10:C73" si="6">IF(B9*F9&lt;0, MAX(A9,E9), IF(D9*F9&lt;0, MAX(C9,E9)))</f>
        <v>3.25</v>
      </c>
      <c r="D10">
        <f t="shared" ref="D10:D73" si="7">C10*C10+LN(C10)-4</f>
        <v>7.7411549963416455</v>
      </c>
      <c r="E10">
        <f t="shared" ref="E10:E73" si="8">(A10+C10)/2</f>
        <v>2.125</v>
      </c>
      <c r="F10">
        <f t="shared" ref="F10:F73" si="9">E10*E10+LN(E10)-4</f>
        <v>1.26939680237638</v>
      </c>
      <c r="G10">
        <f t="shared" ref="G10:G73" si="10">ABS(A10-C10)</f>
        <v>2.25</v>
      </c>
      <c r="H10" s="5">
        <f t="shared" ref="H10:H73" si="11">IF(A10=FALSE(), 999, F10)</f>
        <v>1.26939680237638</v>
      </c>
      <c r="I10" s="5">
        <f t="shared" ref="I10:I73" si="12">E10</f>
        <v>2.125</v>
      </c>
      <c r="J10" s="5">
        <v>3</v>
      </c>
      <c r="N10">
        <f>N9+1/99999</f>
        <v>1.000010000100001</v>
      </c>
      <c r="O10">
        <f t="shared" si="0"/>
        <v>-2.9999699996499958</v>
      </c>
      <c r="V10" s="27"/>
      <c r="W10" s="18">
        <f>B2</f>
        <v>1</v>
      </c>
      <c r="X10" s="27">
        <f t="shared" si="2"/>
        <v>-3</v>
      </c>
      <c r="Y10" s="27">
        <f>(X9-X11)/(W9-W11)</f>
        <v>3.0000000000444085</v>
      </c>
      <c r="Z10" s="28">
        <f>(Y9-Y11)/(W9-W11)</f>
        <v>1.0000000664794899</v>
      </c>
      <c r="AA10" s="27"/>
      <c r="AB10" s="27"/>
      <c r="AC10" s="27"/>
      <c r="AD10" s="27"/>
      <c r="AE10" s="27"/>
      <c r="AF10" s="27"/>
    </row>
    <row r="11" spans="1:32" x14ac:dyDescent="0.2">
      <c r="A11">
        <f t="shared" si="4"/>
        <v>1</v>
      </c>
      <c r="B11">
        <f t="shared" si="5"/>
        <v>-3</v>
      </c>
      <c r="C11">
        <f t="shared" si="6"/>
        <v>2.125</v>
      </c>
      <c r="D11">
        <f t="shared" si="7"/>
        <v>1.26939680237638</v>
      </c>
      <c r="E11">
        <f t="shared" si="8"/>
        <v>1.5625</v>
      </c>
      <c r="F11">
        <f t="shared" si="9"/>
        <v>-1.1123066473715806</v>
      </c>
      <c r="G11">
        <f t="shared" si="10"/>
        <v>1.125</v>
      </c>
      <c r="H11" s="5">
        <f t="shared" si="11"/>
        <v>-1.1123066473715806</v>
      </c>
      <c r="I11" s="5">
        <f t="shared" si="12"/>
        <v>1.5625</v>
      </c>
      <c r="J11" s="5">
        <v>4</v>
      </c>
      <c r="N11">
        <f t="shared" ref="N11:N74" si="13">N12-1/99999</f>
        <v>1.2665180255258854</v>
      </c>
      <c r="O11">
        <f t="shared" si="0"/>
        <v>-2.1596606681086667</v>
      </c>
      <c r="V11" s="27"/>
      <c r="W11" s="18">
        <f>W10+1/99999</f>
        <v>1.000010000100001</v>
      </c>
      <c r="X11" s="27">
        <f t="shared" si="2"/>
        <v>-2.9999699996499958</v>
      </c>
      <c r="Y11" s="27">
        <f t="shared" ref="Y11:Y13" si="14">(X10-X12)/(W10-W12)</f>
        <v>3.0000100002338912</v>
      </c>
      <c r="Z11" s="28"/>
      <c r="AA11" s="27"/>
      <c r="AB11" s="27"/>
      <c r="AC11" s="27"/>
      <c r="AD11" s="27"/>
      <c r="AE11" s="27"/>
      <c r="AF11" s="27"/>
    </row>
    <row r="12" spans="1:32" ht="17" thickBot="1" x14ac:dyDescent="0.25">
      <c r="A12">
        <f t="shared" si="4"/>
        <v>1.5625</v>
      </c>
      <c r="B12">
        <f t="shared" si="5"/>
        <v>-1.1123066473715806</v>
      </c>
      <c r="C12">
        <f t="shared" si="6"/>
        <v>2.125</v>
      </c>
      <c r="D12">
        <f t="shared" si="7"/>
        <v>1.26939680237638</v>
      </c>
      <c r="E12">
        <f t="shared" si="8"/>
        <v>1.84375</v>
      </c>
      <c r="F12">
        <f t="shared" si="9"/>
        <v>1.1215603605992719E-2</v>
      </c>
      <c r="G12">
        <f t="shared" si="10"/>
        <v>0.5625</v>
      </c>
      <c r="H12" s="5">
        <f t="shared" si="11"/>
        <v>1.1215603605992719E-2</v>
      </c>
      <c r="I12" s="5">
        <f t="shared" si="12"/>
        <v>1.84375</v>
      </c>
      <c r="J12" s="5">
        <v>5</v>
      </c>
      <c r="N12" s="10">
        <f>Q9</f>
        <v>1.2665280256258864</v>
      </c>
      <c r="O12">
        <f t="shared" si="0"/>
        <v>-2.1596274416836776</v>
      </c>
      <c r="P12">
        <f t="shared" ref="P12:P75" si="15">(O11-O13)/(N11-N13)</f>
        <v>3.3226161555503491</v>
      </c>
      <c r="Q12" s="10">
        <f t="shared" ref="Q12" si="16">N12-O12/P12</f>
        <v>1.9165060371021965</v>
      </c>
      <c r="R12">
        <v>2</v>
      </c>
      <c r="S12">
        <f t="shared" ref="S12:S75" si="17">N12</f>
        <v>1.2665280256258864</v>
      </c>
      <c r="V12" s="27"/>
      <c r="W12" s="19">
        <f t="shared" ref="W12:W14" si="18">W11+1/99999</f>
        <v>1.0000200002000019</v>
      </c>
      <c r="X12" s="29">
        <f t="shared" si="2"/>
        <v>-2.9999399991999876</v>
      </c>
      <c r="Y12" s="29"/>
      <c r="Z12" s="16"/>
      <c r="AA12" s="27"/>
      <c r="AB12" s="27"/>
      <c r="AC12" s="27"/>
      <c r="AD12" s="27"/>
      <c r="AE12" s="27"/>
      <c r="AF12" s="27"/>
    </row>
    <row r="13" spans="1:32" x14ac:dyDescent="0.2">
      <c r="A13">
        <f t="shared" si="4"/>
        <v>1.5625</v>
      </c>
      <c r="B13">
        <f t="shared" si="5"/>
        <v>-1.1123066473715806</v>
      </c>
      <c r="C13">
        <f t="shared" si="6"/>
        <v>1.84375</v>
      </c>
      <c r="D13">
        <f t="shared" si="7"/>
        <v>1.1215603605992719E-2</v>
      </c>
      <c r="E13">
        <f t="shared" si="8"/>
        <v>1.703125</v>
      </c>
      <c r="F13">
        <f t="shared" si="9"/>
        <v>-0.56690043550552804</v>
      </c>
      <c r="G13">
        <f t="shared" si="10"/>
        <v>0.28125</v>
      </c>
      <c r="H13" s="5">
        <f t="shared" si="11"/>
        <v>-0.56690043550552804</v>
      </c>
      <c r="I13" s="5">
        <f t="shared" si="12"/>
        <v>1.703125</v>
      </c>
      <c r="J13" s="5">
        <v>6</v>
      </c>
      <c r="N13">
        <f t="shared" ref="N13:N76" si="19">N12+1/99999</f>
        <v>1.2665380257258874</v>
      </c>
      <c r="O13">
        <f t="shared" si="0"/>
        <v>-2.1595942151210261</v>
      </c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</row>
    <row r="14" spans="1:32" ht="17" thickBot="1" x14ac:dyDescent="0.25">
      <c r="A14">
        <f t="shared" si="4"/>
        <v>1.703125</v>
      </c>
      <c r="B14">
        <f t="shared" si="5"/>
        <v>-0.56690043550552804</v>
      </c>
      <c r="C14">
        <f t="shared" si="6"/>
        <v>1.84375</v>
      </c>
      <c r="D14">
        <f t="shared" si="7"/>
        <v>1.1215603605992719E-2</v>
      </c>
      <c r="E14">
        <f t="shared" si="8"/>
        <v>1.7734375</v>
      </c>
      <c r="F14">
        <f t="shared" si="9"/>
        <v>-0.28199968003196441</v>
      </c>
      <c r="G14">
        <f t="shared" si="10"/>
        <v>0.140625</v>
      </c>
      <c r="H14" s="5">
        <f t="shared" si="11"/>
        <v>-0.28199968003196441</v>
      </c>
      <c r="I14" s="5">
        <f t="shared" si="12"/>
        <v>1.7734375</v>
      </c>
      <c r="J14" s="5">
        <v>7</v>
      </c>
      <c r="N14">
        <f t="shared" si="13"/>
        <v>1.9164960370021955</v>
      </c>
      <c r="O14">
        <f t="shared" si="0"/>
        <v>0.32345559785061528</v>
      </c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</row>
    <row r="15" spans="1:32" x14ac:dyDescent="0.2">
      <c r="A15">
        <f t="shared" si="4"/>
        <v>1.7734375</v>
      </c>
      <c r="B15">
        <f t="shared" si="5"/>
        <v>-0.28199968003196441</v>
      </c>
      <c r="C15">
        <f t="shared" si="6"/>
        <v>1.84375</v>
      </c>
      <c r="D15">
        <f t="shared" si="7"/>
        <v>1.1215603605992719E-2</v>
      </c>
      <c r="E15">
        <f t="shared" si="8"/>
        <v>1.80859375</v>
      </c>
      <c r="F15">
        <f t="shared" si="9"/>
        <v>-0.1364390378542657</v>
      </c>
      <c r="G15">
        <f t="shared" si="10"/>
        <v>7.03125E-2</v>
      </c>
      <c r="H15" s="5">
        <f t="shared" si="11"/>
        <v>-0.1364390378542657</v>
      </c>
      <c r="I15" s="5">
        <f t="shared" si="12"/>
        <v>1.80859375</v>
      </c>
      <c r="J15" s="5">
        <v>8</v>
      </c>
      <c r="N15" s="10">
        <f t="shared" ref="N15" si="20">Q12</f>
        <v>1.9165060371021965</v>
      </c>
      <c r="O15">
        <f t="shared" si="0"/>
        <v>0.32349914614904574</v>
      </c>
      <c r="P15">
        <f t="shared" ref="P15:P78" si="21">(O14-O16)/(N14-N16)</f>
        <v>4.3547949335886944</v>
      </c>
      <c r="Q15" s="10">
        <f t="shared" ref="Q15" si="22">N15-O15/P15</f>
        <v>1.8422203012449498</v>
      </c>
      <c r="R15">
        <v>3</v>
      </c>
      <c r="S15">
        <f t="shared" ref="S15:S78" si="23">N15</f>
        <v>1.9165060371021965</v>
      </c>
      <c r="V15" s="27"/>
      <c r="W15" s="24">
        <f t="shared" ref="W15:W16" si="24">W16-1/99999</f>
        <v>9.9999799997999972</v>
      </c>
      <c r="X15" s="25">
        <f t="shared" ref="X15:X19" si="25">W15*W15+LN(W15)-4</f>
        <v>98.302183089371994</v>
      </c>
      <c r="Y15" s="25"/>
      <c r="Z15" s="26"/>
      <c r="AA15" s="27"/>
      <c r="AB15" s="27"/>
      <c r="AC15" s="27"/>
      <c r="AD15" s="27"/>
      <c r="AE15" s="27"/>
      <c r="AF15" s="27"/>
    </row>
    <row r="16" spans="1:32" x14ac:dyDescent="0.2">
      <c r="A16">
        <f t="shared" si="4"/>
        <v>1.80859375</v>
      </c>
      <c r="B16">
        <f t="shared" si="5"/>
        <v>-0.1364390378542657</v>
      </c>
      <c r="C16">
        <f t="shared" si="6"/>
        <v>1.84375</v>
      </c>
      <c r="D16">
        <f t="shared" si="7"/>
        <v>1.1215603605992719E-2</v>
      </c>
      <c r="E16">
        <f t="shared" si="8"/>
        <v>1.826171875</v>
      </c>
      <c r="F16">
        <f t="shared" si="9"/>
        <v>-6.2874378709805168E-2</v>
      </c>
      <c r="G16">
        <f t="shared" si="10"/>
        <v>3.515625E-2</v>
      </c>
      <c r="H16" s="5">
        <f t="shared" si="11"/>
        <v>-6.2874378709805168E-2</v>
      </c>
      <c r="I16" s="5">
        <f t="shared" si="12"/>
        <v>1.826171875</v>
      </c>
      <c r="J16" s="5">
        <v>9</v>
      </c>
      <c r="N16">
        <f t="shared" si="19"/>
        <v>1.9165160372021974</v>
      </c>
      <c r="O16">
        <f t="shared" si="0"/>
        <v>0.32354269462025442</v>
      </c>
      <c r="V16" s="27"/>
      <c r="W16" s="18">
        <f>W17-1/99999</f>
        <v>9.9999899998999986</v>
      </c>
      <c r="X16" s="27">
        <f t="shared" si="25"/>
        <v>98.302384091083525</v>
      </c>
      <c r="Y16" s="27">
        <f t="shared" ref="Y16:Y18" si="26">(X15-X17)/(W15-W17)</f>
        <v>20.099980100206235</v>
      </c>
      <c r="Z16" s="28"/>
      <c r="AA16" s="27"/>
      <c r="AB16" s="27"/>
      <c r="AC16" s="27"/>
      <c r="AD16" s="27"/>
      <c r="AE16" s="27"/>
      <c r="AF16" s="27"/>
    </row>
    <row r="17" spans="1:32" x14ac:dyDescent="0.2">
      <c r="A17">
        <f t="shared" si="4"/>
        <v>1.826171875</v>
      </c>
      <c r="B17">
        <f t="shared" si="5"/>
        <v>-6.2874378709805168E-2</v>
      </c>
      <c r="C17">
        <f t="shared" si="6"/>
        <v>1.84375</v>
      </c>
      <c r="D17">
        <f t="shared" si="7"/>
        <v>1.1215603605992719E-2</v>
      </c>
      <c r="E17">
        <f t="shared" si="8"/>
        <v>1.8349609375</v>
      </c>
      <c r="F17">
        <f t="shared" si="9"/>
        <v>-2.5895164035108831E-2</v>
      </c>
      <c r="G17">
        <f t="shared" si="10"/>
        <v>1.7578125E-2</v>
      </c>
      <c r="H17" s="5">
        <f t="shared" si="11"/>
        <v>-2.5895164035108831E-2</v>
      </c>
      <c r="I17" s="5">
        <f t="shared" si="12"/>
        <v>1.8349609375</v>
      </c>
      <c r="J17" s="5">
        <v>10</v>
      </c>
      <c r="N17">
        <f t="shared" si="13"/>
        <v>1.8422103011449489</v>
      </c>
      <c r="O17">
        <f t="shared" si="0"/>
        <v>4.7048949634662662E-3</v>
      </c>
      <c r="V17" s="27"/>
      <c r="W17" s="18">
        <f>C2</f>
        <v>10</v>
      </c>
      <c r="X17" s="27">
        <f t="shared" si="25"/>
        <v>98.30258509299405</v>
      </c>
      <c r="Y17" s="27">
        <f>(X16-X18)/(W16-W18)</f>
        <v>20.099999999467098</v>
      </c>
      <c r="Z17" s="28">
        <f>(Y16-Y18)/(W16-W18)</f>
        <v>1.9899772398207125</v>
      </c>
      <c r="AA17" s="27"/>
      <c r="AB17" s="27"/>
      <c r="AC17" s="27"/>
      <c r="AD17" s="27"/>
      <c r="AE17" s="27"/>
      <c r="AF17" s="27"/>
    </row>
    <row r="18" spans="1:32" x14ac:dyDescent="0.2">
      <c r="A18">
        <f t="shared" si="4"/>
        <v>1.8349609375</v>
      </c>
      <c r="B18">
        <f t="shared" si="5"/>
        <v>-2.5895164035108831E-2</v>
      </c>
      <c r="C18">
        <f t="shared" si="6"/>
        <v>1.84375</v>
      </c>
      <c r="D18">
        <f t="shared" si="7"/>
        <v>1.1215603605992719E-2</v>
      </c>
      <c r="E18">
        <f t="shared" si="8"/>
        <v>1.83935546875</v>
      </c>
      <c r="F18">
        <f t="shared" si="9"/>
        <v>-7.3562380468250588E-3</v>
      </c>
      <c r="G18">
        <f t="shared" si="10"/>
        <v>8.7890625E-3</v>
      </c>
      <c r="H18" s="5">
        <f t="shared" si="11"/>
        <v>-7.3562380468250588E-3</v>
      </c>
      <c r="I18" s="5">
        <f t="shared" si="12"/>
        <v>1.83935546875</v>
      </c>
      <c r="J18" s="5">
        <v>11</v>
      </c>
      <c r="N18" s="10">
        <f t="shared" ref="N18" si="27">Q15</f>
        <v>1.8422203012449498</v>
      </c>
      <c r="O18">
        <f t="shared" si="0"/>
        <v>4.7471679393922273E-3</v>
      </c>
      <c r="P18">
        <f t="shared" ref="P18:P81" si="28">(O17-O19)/(N17-N19)</f>
        <v>4.2272638464634991</v>
      </c>
      <c r="Q18" s="10">
        <f t="shared" ref="Q18" si="29">N18-O18/P18</f>
        <v>1.8410973129215775</v>
      </c>
      <c r="R18">
        <v>4</v>
      </c>
      <c r="S18">
        <f t="shared" ref="S18:S81" si="30">N18</f>
        <v>1.8422203012449498</v>
      </c>
      <c r="V18" s="27"/>
      <c r="W18" s="18">
        <f>W17+1/99999</f>
        <v>10.000010000100001</v>
      </c>
      <c r="X18" s="27">
        <f t="shared" si="25"/>
        <v>98.302786095103571</v>
      </c>
      <c r="Y18" s="27">
        <f t="shared" ref="Y18:Y19" si="31">(X17-X19)/(W17-W19)</f>
        <v>20.100019900149032</v>
      </c>
      <c r="Z18" s="28"/>
      <c r="AA18" s="27"/>
      <c r="AB18" s="27"/>
      <c r="AC18" s="27"/>
      <c r="AD18" s="27"/>
      <c r="AE18" s="27"/>
      <c r="AF18" s="27"/>
    </row>
    <row r="19" spans="1:32" ht="17" thickBot="1" x14ac:dyDescent="0.25">
      <c r="A19">
        <f t="shared" si="4"/>
        <v>1.83935546875</v>
      </c>
      <c r="B19">
        <f t="shared" si="5"/>
        <v>-7.3562380468250588E-3</v>
      </c>
      <c r="C19">
        <f t="shared" si="6"/>
        <v>1.84375</v>
      </c>
      <c r="D19">
        <f t="shared" si="7"/>
        <v>1.1215603605992719E-2</v>
      </c>
      <c r="E19">
        <f t="shared" si="8"/>
        <v>1.841552734375</v>
      </c>
      <c r="F19">
        <f t="shared" si="9"/>
        <v>1.9255666183264353E-3</v>
      </c>
      <c r="G19">
        <f t="shared" si="10"/>
        <v>4.39453125E-3</v>
      </c>
      <c r="H19" s="5">
        <f t="shared" si="11"/>
        <v>1.9255666183264353E-3</v>
      </c>
      <c r="I19" s="5">
        <f t="shared" si="12"/>
        <v>1.841552734375</v>
      </c>
      <c r="J19" s="5">
        <v>12</v>
      </c>
      <c r="N19">
        <f t="shared" si="19"/>
        <v>1.8422303013449508</v>
      </c>
      <c r="O19">
        <f t="shared" si="0"/>
        <v>4.7894410858564385E-3</v>
      </c>
      <c r="V19" s="27"/>
      <c r="W19" s="19">
        <f t="shared" ref="W19" si="32">W18+1/99999</f>
        <v>10.000020000200003</v>
      </c>
      <c r="X19" s="29">
        <f t="shared" si="25"/>
        <v>98.302987097412114</v>
      </c>
      <c r="Y19" s="29"/>
      <c r="Z19" s="16"/>
      <c r="AA19" s="27"/>
      <c r="AB19" s="27"/>
      <c r="AC19" s="27"/>
      <c r="AD19" s="27"/>
      <c r="AE19" s="27"/>
      <c r="AF19" s="27"/>
    </row>
    <row r="20" spans="1:32" x14ac:dyDescent="0.2">
      <c r="A20">
        <f t="shared" si="4"/>
        <v>1.83935546875</v>
      </c>
      <c r="B20">
        <f t="shared" si="5"/>
        <v>-7.3562380468250588E-3</v>
      </c>
      <c r="C20">
        <f t="shared" si="6"/>
        <v>1.841552734375</v>
      </c>
      <c r="D20">
        <f t="shared" si="7"/>
        <v>1.9255666183264353E-3</v>
      </c>
      <c r="E20">
        <f t="shared" si="8"/>
        <v>1.8404541015625</v>
      </c>
      <c r="F20">
        <f t="shared" si="9"/>
        <v>-2.716364542141303E-3</v>
      </c>
      <c r="G20">
        <f t="shared" si="10"/>
        <v>2.197265625E-3</v>
      </c>
      <c r="H20" s="5">
        <f t="shared" si="11"/>
        <v>-2.716364542141303E-3</v>
      </c>
      <c r="I20" s="5">
        <f t="shared" si="12"/>
        <v>1.8404541015625</v>
      </c>
      <c r="J20" s="5">
        <v>13</v>
      </c>
      <c r="N20">
        <f t="shared" si="13"/>
        <v>1.8410873128215766</v>
      </c>
      <c r="O20">
        <f t="shared" si="0"/>
        <v>-4.1178596139612722E-5</v>
      </c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</row>
    <row r="21" spans="1:32" x14ac:dyDescent="0.2">
      <c r="A21">
        <f t="shared" si="4"/>
        <v>1.8404541015625</v>
      </c>
      <c r="B21">
        <f t="shared" si="5"/>
        <v>-2.716364542141303E-3</v>
      </c>
      <c r="C21">
        <f t="shared" si="6"/>
        <v>1.841552734375</v>
      </c>
      <c r="D21">
        <f t="shared" si="7"/>
        <v>1.9255666183264353E-3</v>
      </c>
      <c r="E21">
        <f t="shared" si="8"/>
        <v>1.84100341796875</v>
      </c>
      <c r="F21">
        <f t="shared" si="9"/>
        <v>-3.9565619546300113E-4</v>
      </c>
      <c r="G21">
        <f t="shared" si="10"/>
        <v>1.0986328125E-3</v>
      </c>
      <c r="H21" s="5">
        <f t="shared" si="11"/>
        <v>-3.9565619546300113E-4</v>
      </c>
      <c r="I21" s="5">
        <f t="shared" si="12"/>
        <v>1.84100341796875</v>
      </c>
      <c r="J21" s="5">
        <v>14</v>
      </c>
      <c r="N21" s="10">
        <f t="shared" ref="N21" si="33">Q18</f>
        <v>1.8410973129215775</v>
      </c>
      <c r="O21">
        <f t="shared" si="0"/>
        <v>1.0752308288175527E-6</v>
      </c>
      <c r="P21">
        <f t="shared" ref="P21:P84" si="34">(O20-O22)/(N20-N22)</f>
        <v>4.2253489680608318</v>
      </c>
      <c r="Q21" s="10">
        <f t="shared" ref="Q21" si="35">N21-O21/P21</f>
        <v>1.8410970584500921</v>
      </c>
      <c r="R21">
        <v>5</v>
      </c>
      <c r="S21">
        <f t="shared" ref="S21:S84" si="36">N21</f>
        <v>1.8410973129215775</v>
      </c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</row>
    <row r="22" spans="1:32" x14ac:dyDescent="0.2">
      <c r="A22">
        <f t="shared" si="4"/>
        <v>1.84100341796875</v>
      </c>
      <c r="B22">
        <f t="shared" si="5"/>
        <v>-3.9565619546300113E-4</v>
      </c>
      <c r="C22">
        <f t="shared" si="6"/>
        <v>1.841552734375</v>
      </c>
      <c r="D22">
        <f t="shared" si="7"/>
        <v>1.9255666183264353E-3</v>
      </c>
      <c r="E22">
        <f t="shared" si="8"/>
        <v>1.841278076171875</v>
      </c>
      <c r="F22">
        <f t="shared" si="9"/>
        <v>7.648908997222037E-4</v>
      </c>
      <c r="G22">
        <f t="shared" si="10"/>
        <v>5.4931640625E-4</v>
      </c>
      <c r="H22" s="5">
        <f t="shared" si="11"/>
        <v>7.648908997222037E-4</v>
      </c>
      <c r="I22" s="5">
        <f t="shared" si="12"/>
        <v>1.841278076171875</v>
      </c>
      <c r="J22" s="5">
        <v>15</v>
      </c>
      <c r="N22">
        <f t="shared" si="19"/>
        <v>1.8411073130215785</v>
      </c>
      <c r="O22">
        <f t="shared" si="0"/>
        <v>4.332922829952679E-5</v>
      </c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</row>
    <row r="23" spans="1:32" x14ac:dyDescent="0.2">
      <c r="A23">
        <f t="shared" si="4"/>
        <v>1.84100341796875</v>
      </c>
      <c r="B23">
        <f t="shared" si="5"/>
        <v>-3.9565619546300113E-4</v>
      </c>
      <c r="C23">
        <f t="shared" si="6"/>
        <v>1.841278076171875</v>
      </c>
      <c r="D23">
        <f t="shared" si="7"/>
        <v>7.648908997222037E-4</v>
      </c>
      <c r="E23">
        <f t="shared" si="8"/>
        <v>1.8411407470703125</v>
      </c>
      <c r="F23">
        <f t="shared" si="9"/>
        <v>1.8460127461761289E-4</v>
      </c>
      <c r="G23">
        <f t="shared" si="10"/>
        <v>2.74658203125E-4</v>
      </c>
      <c r="H23" s="5">
        <f t="shared" si="11"/>
        <v>1.8460127461761289E-4</v>
      </c>
      <c r="I23" s="5">
        <f t="shared" si="12"/>
        <v>1.8411407470703125</v>
      </c>
      <c r="J23" s="5">
        <v>16</v>
      </c>
      <c r="N23">
        <f t="shared" si="13"/>
        <v>1.8410870583500911</v>
      </c>
      <c r="O23">
        <f t="shared" si="0"/>
        <v>-4.2253822574167543E-5</v>
      </c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</row>
    <row r="24" spans="1:32" x14ac:dyDescent="0.2">
      <c r="A24">
        <f t="shared" si="4"/>
        <v>1.84100341796875</v>
      </c>
      <c r="B24">
        <f t="shared" si="5"/>
        <v>-3.9565619546300113E-4</v>
      </c>
      <c r="C24">
        <f t="shared" si="6"/>
        <v>1.8411407470703125</v>
      </c>
      <c r="D24">
        <f t="shared" si="7"/>
        <v>1.8460127461761289E-4</v>
      </c>
      <c r="E24">
        <f t="shared" si="8"/>
        <v>1.8410720825195312</v>
      </c>
      <c r="F24">
        <f t="shared" si="9"/>
        <v>-1.0553147974912136E-4</v>
      </c>
      <c r="G24">
        <f t="shared" si="10"/>
        <v>1.373291015625E-4</v>
      </c>
      <c r="H24" s="5">
        <f t="shared" si="11"/>
        <v>-1.0553147974912136E-4</v>
      </c>
      <c r="I24" s="5">
        <f t="shared" si="12"/>
        <v>1.8410720825195312</v>
      </c>
      <c r="J24" s="5">
        <v>17</v>
      </c>
      <c r="N24" s="10">
        <f t="shared" ref="N24" si="37">Q21</f>
        <v>1.8410970584500921</v>
      </c>
      <c r="O24">
        <f t="shared" si="0"/>
        <v>5.595524044110789E-14</v>
      </c>
      <c r="P24">
        <f t="shared" ref="P24:P87" si="38">(O23-O25)/(N23-N25)</f>
        <v>4.2253485342122161</v>
      </c>
      <c r="Q24" s="10">
        <f t="shared" ref="Q24" si="39">N24-O24/P24</f>
        <v>1.8410970584500788</v>
      </c>
      <c r="R24">
        <v>6</v>
      </c>
      <c r="S24">
        <f t="shared" ref="S24:S87" si="40">N24</f>
        <v>1.8410970584500921</v>
      </c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</row>
    <row r="25" spans="1:32" x14ac:dyDescent="0.2">
      <c r="A25">
        <f t="shared" si="4"/>
        <v>1.8410720825195312</v>
      </c>
      <c r="B25">
        <f t="shared" si="5"/>
        <v>-1.0553147974912136E-4</v>
      </c>
      <c r="C25">
        <f t="shared" si="6"/>
        <v>1.8411407470703125</v>
      </c>
      <c r="D25">
        <f t="shared" si="7"/>
        <v>1.8460127461761289E-4</v>
      </c>
      <c r="E25">
        <f t="shared" si="8"/>
        <v>1.8411064147949219</v>
      </c>
      <c r="F25">
        <f t="shared" si="9"/>
        <v>3.9533892596033127E-5</v>
      </c>
      <c r="G25">
        <f t="shared" si="10"/>
        <v>6.866455078125E-5</v>
      </c>
      <c r="H25" s="5">
        <f t="shared" si="11"/>
        <v>3.9533892596033127E-5</v>
      </c>
      <c r="I25" s="5">
        <f t="shared" si="12"/>
        <v>1.8411064147949219</v>
      </c>
      <c r="J25" s="5">
        <v>18</v>
      </c>
      <c r="N25">
        <f t="shared" si="19"/>
        <v>1.841107058550093</v>
      </c>
      <c r="O25">
        <f t="shared" si="0"/>
        <v>4.2253993187912897E-5</v>
      </c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</row>
    <row r="26" spans="1:32" x14ac:dyDescent="0.2">
      <c r="A26">
        <f t="shared" si="4"/>
        <v>1.8410720825195312</v>
      </c>
      <c r="B26">
        <f t="shared" si="5"/>
        <v>-1.0553147974912136E-4</v>
      </c>
      <c r="C26">
        <f t="shared" si="6"/>
        <v>1.8411064147949219</v>
      </c>
      <c r="D26">
        <f t="shared" si="7"/>
        <v>3.9533892596033127E-5</v>
      </c>
      <c r="E26">
        <f t="shared" si="8"/>
        <v>1.8410892486572266</v>
      </c>
      <c r="F26">
        <f t="shared" si="9"/>
        <v>-3.2999044785153586E-5</v>
      </c>
      <c r="G26">
        <f t="shared" si="10"/>
        <v>3.4332275390625E-5</v>
      </c>
      <c r="H26" s="5">
        <f t="shared" si="11"/>
        <v>-3.2999044785153586E-5</v>
      </c>
      <c r="I26" s="5">
        <f t="shared" si="12"/>
        <v>1.8410892486572266</v>
      </c>
      <c r="J26" s="5">
        <v>19</v>
      </c>
      <c r="N26">
        <f t="shared" si="13"/>
        <v>1.8410870583500778</v>
      </c>
      <c r="O26">
        <f t="shared" si="0"/>
        <v>-4.2253822631010962E-5</v>
      </c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</row>
    <row r="27" spans="1:32" x14ac:dyDescent="0.2">
      <c r="A27">
        <f t="shared" si="4"/>
        <v>1.8410892486572266</v>
      </c>
      <c r="B27">
        <f t="shared" si="5"/>
        <v>-3.2999044785153586E-5</v>
      </c>
      <c r="C27">
        <f t="shared" si="6"/>
        <v>1.8411064147949219</v>
      </c>
      <c r="D27">
        <f t="shared" si="7"/>
        <v>3.9533892596033127E-5</v>
      </c>
      <c r="E27">
        <f t="shared" si="8"/>
        <v>1.8410978317260742</v>
      </c>
      <c r="F27">
        <f t="shared" si="9"/>
        <v>3.2673611034539363E-6</v>
      </c>
      <c r="G27">
        <f t="shared" si="10"/>
        <v>1.71661376953125E-5</v>
      </c>
      <c r="H27" s="5">
        <f t="shared" si="11"/>
        <v>3.2673611034539363E-6</v>
      </c>
      <c r="I27" s="5">
        <f t="shared" si="12"/>
        <v>1.8410978317260742</v>
      </c>
      <c r="J27" s="5">
        <v>20</v>
      </c>
      <c r="N27" s="10">
        <f t="shared" ref="N27" si="41">Q24</f>
        <v>1.8410970584500788</v>
      </c>
      <c r="O27">
        <f t="shared" si="0"/>
        <v>0</v>
      </c>
      <c r="P27">
        <f t="shared" ref="P27:P90" si="42">(O26-O28)/(N26-N28)</f>
        <v>4.225348534256625</v>
      </c>
      <c r="Q27" s="10">
        <f t="shared" ref="Q27" si="43">N27-O27/P27</f>
        <v>1.8410970584500788</v>
      </c>
      <c r="R27">
        <v>7</v>
      </c>
      <c r="S27">
        <f t="shared" ref="S27:S90" si="44">N27</f>
        <v>1.8410970584500788</v>
      </c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</row>
    <row r="28" spans="1:32" x14ac:dyDescent="0.2">
      <c r="A28">
        <f t="shared" si="4"/>
        <v>1.8410892486572266</v>
      </c>
      <c r="B28">
        <f t="shared" si="5"/>
        <v>-3.2999044785153586E-5</v>
      </c>
      <c r="C28">
        <f t="shared" si="6"/>
        <v>1.8410978317260742</v>
      </c>
      <c r="D28">
        <f t="shared" si="7"/>
        <v>3.2673611034539363E-6</v>
      </c>
      <c r="E28">
        <f t="shared" si="8"/>
        <v>1.8410935401916504</v>
      </c>
      <c r="F28">
        <f t="shared" si="9"/>
        <v>-1.4865857541401795E-5</v>
      </c>
      <c r="G28">
        <f t="shared" si="10"/>
        <v>8.58306884765625E-6</v>
      </c>
      <c r="H28" s="5">
        <f t="shared" si="11"/>
        <v>-1.4865857541401795E-5</v>
      </c>
      <c r="I28" s="5">
        <f t="shared" si="12"/>
        <v>1.8410935401916504</v>
      </c>
      <c r="J28" s="5">
        <v>21</v>
      </c>
      <c r="N28">
        <f t="shared" si="19"/>
        <v>1.8411070585500797</v>
      </c>
      <c r="O28">
        <f t="shared" si="0"/>
        <v>4.2253993131957657E-5</v>
      </c>
    </row>
    <row r="29" spans="1:32" x14ac:dyDescent="0.2">
      <c r="A29">
        <f t="shared" si="4"/>
        <v>1.8410935401916504</v>
      </c>
      <c r="B29">
        <f t="shared" si="5"/>
        <v>-1.4865857541401795E-5</v>
      </c>
      <c r="C29">
        <f t="shared" si="6"/>
        <v>1.8410978317260742</v>
      </c>
      <c r="D29">
        <f t="shared" si="7"/>
        <v>3.2673611034539363E-6</v>
      </c>
      <c r="E29">
        <f t="shared" si="8"/>
        <v>1.8410956859588623</v>
      </c>
      <c r="F29">
        <f t="shared" si="9"/>
        <v>-5.799252144278455E-6</v>
      </c>
      <c r="G29">
        <f t="shared" si="10"/>
        <v>4.291534423828125E-6</v>
      </c>
      <c r="H29" s="5">
        <f t="shared" si="11"/>
        <v>-5.799252144278455E-6</v>
      </c>
      <c r="I29" s="5">
        <f t="shared" si="12"/>
        <v>1.8410956859588623</v>
      </c>
      <c r="J29" s="5">
        <v>22</v>
      </c>
      <c r="N29">
        <f t="shared" si="13"/>
        <v>1.8410870583500778</v>
      </c>
      <c r="O29">
        <f t="shared" si="0"/>
        <v>-4.2253822631010962E-5</v>
      </c>
    </row>
    <row r="30" spans="1:32" x14ac:dyDescent="0.2">
      <c r="A30">
        <f t="shared" si="4"/>
        <v>1.8410956859588623</v>
      </c>
      <c r="B30">
        <f t="shared" si="5"/>
        <v>-5.799252144278455E-6</v>
      </c>
      <c r="C30">
        <f t="shared" si="6"/>
        <v>1.8410978317260742</v>
      </c>
      <c r="D30">
        <f t="shared" si="7"/>
        <v>3.2673611034539363E-6</v>
      </c>
      <c r="E30">
        <f t="shared" si="8"/>
        <v>1.8410967588424683</v>
      </c>
      <c r="F30">
        <f t="shared" si="9"/>
        <v>-1.2659465018494132E-6</v>
      </c>
      <c r="G30">
        <f t="shared" si="10"/>
        <v>2.1457672119140625E-6</v>
      </c>
      <c r="H30" s="5">
        <f t="shared" si="11"/>
        <v>-1.2659465018494132E-6</v>
      </c>
      <c r="I30" s="5">
        <f t="shared" si="12"/>
        <v>1.8410967588424683</v>
      </c>
      <c r="J30" s="5">
        <v>23</v>
      </c>
      <c r="N30" s="10">
        <f t="shared" ref="N30" si="45">Q27</f>
        <v>1.8410970584500788</v>
      </c>
      <c r="O30">
        <f t="shared" si="0"/>
        <v>0</v>
      </c>
      <c r="P30">
        <f t="shared" ref="P30:P93" si="46">(O29-O31)/(N29-N31)</f>
        <v>4.225348534256625</v>
      </c>
      <c r="Q30" s="10">
        <f t="shared" ref="Q30" si="47">N30-O30/P30</f>
        <v>1.8410970584500788</v>
      </c>
      <c r="R30">
        <v>8</v>
      </c>
      <c r="S30">
        <f t="shared" ref="S30:S93" si="48">N30</f>
        <v>1.8410970584500788</v>
      </c>
    </row>
    <row r="31" spans="1:32" x14ac:dyDescent="0.2">
      <c r="A31">
        <f t="shared" si="4"/>
        <v>1.8410967588424683</v>
      </c>
      <c r="B31">
        <f t="shared" si="5"/>
        <v>-1.2659465018494132E-6</v>
      </c>
      <c r="C31">
        <f t="shared" si="6"/>
        <v>1.8410978317260742</v>
      </c>
      <c r="D31">
        <f t="shared" si="7"/>
        <v>3.2673611034539363E-6</v>
      </c>
      <c r="E31">
        <f t="shared" si="8"/>
        <v>1.8410972952842712</v>
      </c>
      <c r="F31">
        <f t="shared" si="9"/>
        <v>1.0007070549988839E-6</v>
      </c>
      <c r="G31">
        <f t="shared" si="10"/>
        <v>1.0728836059570312E-6</v>
      </c>
      <c r="H31" s="5">
        <f t="shared" si="11"/>
        <v>1.0007070549988839E-6</v>
      </c>
      <c r="I31" s="5">
        <f t="shared" si="12"/>
        <v>1.8410972952842712</v>
      </c>
      <c r="J31" s="5">
        <v>24</v>
      </c>
      <c r="N31">
        <f t="shared" si="19"/>
        <v>1.8411070585500797</v>
      </c>
      <c r="O31">
        <f t="shared" si="0"/>
        <v>4.2253993131957657E-5</v>
      </c>
    </row>
    <row r="32" spans="1:32" x14ac:dyDescent="0.2">
      <c r="A32">
        <f t="shared" si="4"/>
        <v>1.8410967588424683</v>
      </c>
      <c r="B32">
        <f t="shared" si="5"/>
        <v>-1.2659465018494132E-6</v>
      </c>
      <c r="C32">
        <f t="shared" si="6"/>
        <v>1.8410972952842712</v>
      </c>
      <c r="D32">
        <f t="shared" si="7"/>
        <v>1.0007070549988839E-6</v>
      </c>
      <c r="E32">
        <f t="shared" si="8"/>
        <v>1.8410970270633698</v>
      </c>
      <c r="F32">
        <f t="shared" si="9"/>
        <v>-1.3261978448753098E-7</v>
      </c>
      <c r="G32">
        <f t="shared" si="10"/>
        <v>5.3644180297851562E-7</v>
      </c>
      <c r="H32" s="5">
        <f t="shared" si="11"/>
        <v>-1.3261978448753098E-7</v>
      </c>
      <c r="I32" s="5">
        <f t="shared" si="12"/>
        <v>1.8410970270633698</v>
      </c>
      <c r="J32" s="5">
        <v>25</v>
      </c>
      <c r="N32">
        <f t="shared" si="13"/>
        <v>1.8410870583500778</v>
      </c>
      <c r="O32">
        <f t="shared" si="0"/>
        <v>-4.2253822631010962E-5</v>
      </c>
    </row>
    <row r="33" spans="1:19" x14ac:dyDescent="0.2">
      <c r="A33">
        <f t="shared" si="4"/>
        <v>1.8410970270633698</v>
      </c>
      <c r="B33">
        <f t="shared" si="5"/>
        <v>-1.3261978448753098E-7</v>
      </c>
      <c r="C33">
        <f t="shared" si="6"/>
        <v>1.8410972952842712</v>
      </c>
      <c r="D33">
        <f t="shared" si="7"/>
        <v>1.0007070549988839E-6</v>
      </c>
      <c r="E33">
        <f t="shared" si="8"/>
        <v>1.8410971611738205</v>
      </c>
      <c r="F33">
        <f t="shared" si="9"/>
        <v>4.3404361971255412E-7</v>
      </c>
      <c r="G33">
        <f t="shared" si="10"/>
        <v>2.6822090148925781E-7</v>
      </c>
      <c r="H33" s="5">
        <f t="shared" si="11"/>
        <v>4.3404361971255412E-7</v>
      </c>
      <c r="I33" s="5">
        <f t="shared" si="12"/>
        <v>1.8410971611738205</v>
      </c>
      <c r="J33" s="5">
        <v>26</v>
      </c>
      <c r="N33" s="10">
        <f t="shared" ref="N33" si="49">Q30</f>
        <v>1.8410970584500788</v>
      </c>
      <c r="O33">
        <f t="shared" si="0"/>
        <v>0</v>
      </c>
      <c r="P33">
        <f t="shared" ref="P33:P96" si="50">(O32-O34)/(N32-N34)</f>
        <v>4.225348534256625</v>
      </c>
      <c r="Q33" s="10">
        <f t="shared" ref="Q33" si="51">N33-O33/P33</f>
        <v>1.8410970584500788</v>
      </c>
      <c r="R33">
        <v>9</v>
      </c>
      <c r="S33">
        <f t="shared" ref="S33:S96" si="52">N33</f>
        <v>1.8410970584500788</v>
      </c>
    </row>
    <row r="34" spans="1:19" x14ac:dyDescent="0.2">
      <c r="A34">
        <f t="shared" si="4"/>
        <v>1.8410970270633698</v>
      </c>
      <c r="B34">
        <f t="shared" si="5"/>
        <v>-1.3261978448753098E-7</v>
      </c>
      <c r="C34">
        <f t="shared" si="6"/>
        <v>1.8410971611738205</v>
      </c>
      <c r="D34">
        <f t="shared" si="7"/>
        <v>4.3404361971255412E-7</v>
      </c>
      <c r="E34">
        <f t="shared" si="8"/>
        <v>1.8410970941185951</v>
      </c>
      <c r="F34">
        <f t="shared" si="9"/>
        <v>1.5071191405979789E-7</v>
      </c>
      <c r="G34">
        <f t="shared" si="10"/>
        <v>1.3411045074462891E-7</v>
      </c>
      <c r="H34" s="5">
        <f t="shared" si="11"/>
        <v>1.5071191405979789E-7</v>
      </c>
      <c r="I34" s="5">
        <f t="shared" si="12"/>
        <v>1.8410970941185951</v>
      </c>
      <c r="J34" s="5">
        <v>27</v>
      </c>
      <c r="N34">
        <f t="shared" si="19"/>
        <v>1.8411070585500797</v>
      </c>
      <c r="O34">
        <f t="shared" si="0"/>
        <v>4.2253993131957657E-5</v>
      </c>
    </row>
    <row r="35" spans="1:19" x14ac:dyDescent="0.2">
      <c r="A35">
        <f t="shared" si="4"/>
        <v>1.8410970270633698</v>
      </c>
      <c r="B35">
        <f t="shared" si="5"/>
        <v>-1.3261978448753098E-7</v>
      </c>
      <c r="C35">
        <f t="shared" si="6"/>
        <v>1.8410970941185951</v>
      </c>
      <c r="D35">
        <f t="shared" si="7"/>
        <v>1.5071191405979789E-7</v>
      </c>
      <c r="E35">
        <f t="shared" si="8"/>
        <v>1.8410970605909824</v>
      </c>
      <c r="F35">
        <f t="shared" si="9"/>
        <v>9.0460634538658269E-9</v>
      </c>
      <c r="G35">
        <f t="shared" si="10"/>
        <v>6.7055225372314453E-8</v>
      </c>
      <c r="H35" s="5">
        <f t="shared" si="11"/>
        <v>9.0460634538658269E-9</v>
      </c>
      <c r="I35" s="5">
        <f t="shared" si="12"/>
        <v>1.8410970605909824</v>
      </c>
      <c r="J35" s="5">
        <v>28</v>
      </c>
      <c r="N35">
        <f t="shared" si="13"/>
        <v>1.8410870583500778</v>
      </c>
      <c r="O35">
        <f t="shared" si="0"/>
        <v>-4.2253822631010962E-5</v>
      </c>
    </row>
    <row r="36" spans="1:19" x14ac:dyDescent="0.2">
      <c r="A36">
        <f t="shared" si="4"/>
        <v>1.8410970270633698</v>
      </c>
      <c r="B36">
        <f t="shared" si="5"/>
        <v>-1.3261978448753098E-7</v>
      </c>
      <c r="C36">
        <f t="shared" si="6"/>
        <v>1.8410970605909824</v>
      </c>
      <c r="D36">
        <f t="shared" si="7"/>
        <v>9.0460634538658269E-9</v>
      </c>
      <c r="E36">
        <f t="shared" si="8"/>
        <v>1.8410970438271761</v>
      </c>
      <c r="F36">
        <f t="shared" si="9"/>
        <v>-6.1786860516832576E-8</v>
      </c>
      <c r="G36">
        <f t="shared" si="10"/>
        <v>3.3527612686157227E-8</v>
      </c>
      <c r="H36" s="5">
        <f t="shared" si="11"/>
        <v>-6.1786860516832576E-8</v>
      </c>
      <c r="I36" s="5">
        <f t="shared" si="12"/>
        <v>1.8410970438271761</v>
      </c>
      <c r="J36" s="5">
        <v>29</v>
      </c>
      <c r="N36" s="10">
        <f t="shared" ref="N36" si="53">Q33</f>
        <v>1.8410970584500788</v>
      </c>
      <c r="O36">
        <f t="shared" si="0"/>
        <v>0</v>
      </c>
      <c r="P36">
        <f t="shared" ref="P36:P99" si="54">(O35-O37)/(N35-N37)</f>
        <v>4.225348534256625</v>
      </c>
      <c r="Q36" s="10">
        <f t="shared" ref="Q36" si="55">N36-O36/P36</f>
        <v>1.8410970584500788</v>
      </c>
      <c r="R36">
        <v>10</v>
      </c>
      <c r="S36">
        <f t="shared" ref="S36:S99" si="56">N36</f>
        <v>1.8410970584500788</v>
      </c>
    </row>
    <row r="37" spans="1:19" x14ac:dyDescent="0.2">
      <c r="A37">
        <f t="shared" si="4"/>
        <v>1.8410970438271761</v>
      </c>
      <c r="B37">
        <f t="shared" si="5"/>
        <v>-6.1786860516832576E-8</v>
      </c>
      <c r="C37">
        <f t="shared" si="6"/>
        <v>1.8410970605909824</v>
      </c>
      <c r="D37">
        <f t="shared" si="7"/>
        <v>9.0460634538658269E-9</v>
      </c>
      <c r="E37">
        <f t="shared" si="8"/>
        <v>1.8410970522090793</v>
      </c>
      <c r="F37">
        <f t="shared" si="9"/>
        <v>-2.6370398753527979E-8</v>
      </c>
      <c r="G37">
        <f t="shared" si="10"/>
        <v>1.6763806343078613E-8</v>
      </c>
      <c r="H37" s="5">
        <f t="shared" si="11"/>
        <v>-2.6370398753527979E-8</v>
      </c>
      <c r="I37" s="5">
        <f t="shared" si="12"/>
        <v>1.8410970522090793</v>
      </c>
      <c r="J37" s="5">
        <v>30</v>
      </c>
      <c r="N37">
        <f t="shared" si="19"/>
        <v>1.8411070585500797</v>
      </c>
      <c r="O37">
        <f t="shared" si="0"/>
        <v>4.2253993131957657E-5</v>
      </c>
    </row>
    <row r="38" spans="1:19" x14ac:dyDescent="0.2">
      <c r="A38">
        <f t="shared" si="4"/>
        <v>1.8410970522090793</v>
      </c>
      <c r="B38">
        <f t="shared" si="5"/>
        <v>-2.6370398753527979E-8</v>
      </c>
      <c r="C38">
        <f t="shared" si="6"/>
        <v>1.8410970605909824</v>
      </c>
      <c r="D38">
        <f t="shared" si="7"/>
        <v>9.0460634538658269E-9</v>
      </c>
      <c r="E38">
        <f t="shared" si="8"/>
        <v>1.8410970564000309</v>
      </c>
      <c r="F38">
        <f t="shared" si="9"/>
        <v>-8.6621669836972615E-9</v>
      </c>
      <c r="G38">
        <f t="shared" si="10"/>
        <v>8.3819031715393066E-9</v>
      </c>
      <c r="H38" s="5">
        <f t="shared" si="11"/>
        <v>-8.6621669836972615E-9</v>
      </c>
      <c r="I38" s="5">
        <f t="shared" si="12"/>
        <v>1.8410970564000309</v>
      </c>
      <c r="J38" s="5">
        <v>31</v>
      </c>
      <c r="N38">
        <f t="shared" si="13"/>
        <v>1.8410870583500778</v>
      </c>
      <c r="O38">
        <f t="shared" si="0"/>
        <v>-4.2253822631010962E-5</v>
      </c>
    </row>
    <row r="39" spans="1:19" x14ac:dyDescent="0.2">
      <c r="A39">
        <f t="shared" si="4"/>
        <v>1.8410970564000309</v>
      </c>
      <c r="B39">
        <f t="shared" si="5"/>
        <v>-8.6621669836972615E-9</v>
      </c>
      <c r="C39">
        <f t="shared" si="6"/>
        <v>1.8410970605909824</v>
      </c>
      <c r="D39">
        <f t="shared" si="7"/>
        <v>9.0460634538658269E-9</v>
      </c>
      <c r="E39">
        <f t="shared" si="8"/>
        <v>1.8410970584955066</v>
      </c>
      <c r="F39">
        <f t="shared" si="9"/>
        <v>1.9194779099507286E-10</v>
      </c>
      <c r="G39">
        <f t="shared" si="10"/>
        <v>4.1909515857696533E-9</v>
      </c>
      <c r="H39" s="5">
        <f t="shared" si="11"/>
        <v>1.9194779099507286E-10</v>
      </c>
      <c r="I39" s="5">
        <f t="shared" si="12"/>
        <v>1.8410970584955066</v>
      </c>
      <c r="J39" s="5">
        <v>32</v>
      </c>
      <c r="N39" s="10">
        <f t="shared" ref="N39" si="57">Q36</f>
        <v>1.8410970584500788</v>
      </c>
      <c r="O39">
        <f t="shared" si="0"/>
        <v>0</v>
      </c>
      <c r="P39">
        <f t="shared" ref="P39:P102" si="58">(O38-O40)/(N38-N40)</f>
        <v>4.225348534256625</v>
      </c>
      <c r="Q39" s="10">
        <f t="shared" ref="Q39" si="59">N39-O39/P39</f>
        <v>1.8410970584500788</v>
      </c>
      <c r="R39">
        <v>11</v>
      </c>
      <c r="S39">
        <f t="shared" ref="S39:S102" si="60">N39</f>
        <v>1.8410970584500788</v>
      </c>
    </row>
    <row r="40" spans="1:19" x14ac:dyDescent="0.2">
      <c r="A40">
        <f t="shared" si="4"/>
        <v>1.8410970564000309</v>
      </c>
      <c r="B40">
        <f t="shared" si="5"/>
        <v>-8.6621669836972615E-9</v>
      </c>
      <c r="C40">
        <f t="shared" si="6"/>
        <v>1.8410970584955066</v>
      </c>
      <c r="D40">
        <f t="shared" si="7"/>
        <v>1.9194779099507286E-10</v>
      </c>
      <c r="E40">
        <f t="shared" si="8"/>
        <v>1.8410970574477687</v>
      </c>
      <c r="F40">
        <f t="shared" si="9"/>
        <v>-4.2351100404403041E-9</v>
      </c>
      <c r="G40">
        <f t="shared" si="10"/>
        <v>2.0954757928848267E-9</v>
      </c>
      <c r="H40" s="5">
        <f t="shared" si="11"/>
        <v>-4.2351100404403041E-9</v>
      </c>
      <c r="I40" s="5">
        <f t="shared" si="12"/>
        <v>1.8410970574477687</v>
      </c>
      <c r="J40" s="5">
        <v>33</v>
      </c>
      <c r="N40">
        <f t="shared" si="19"/>
        <v>1.8411070585500797</v>
      </c>
      <c r="O40">
        <f t="shared" si="0"/>
        <v>4.2253993131957657E-5</v>
      </c>
    </row>
    <row r="41" spans="1:19" x14ac:dyDescent="0.2">
      <c r="A41">
        <f t="shared" si="4"/>
        <v>1.8410970574477687</v>
      </c>
      <c r="B41">
        <f t="shared" si="5"/>
        <v>-4.2351100404403041E-9</v>
      </c>
      <c r="C41">
        <f t="shared" si="6"/>
        <v>1.8410970584955066</v>
      </c>
      <c r="D41">
        <f t="shared" si="7"/>
        <v>1.9194779099507286E-10</v>
      </c>
      <c r="E41">
        <f t="shared" si="8"/>
        <v>1.8410970579716377</v>
      </c>
      <c r="F41">
        <f t="shared" si="9"/>
        <v>-2.0215811247226156E-9</v>
      </c>
      <c r="G41">
        <f t="shared" si="10"/>
        <v>1.0477378964424133E-9</v>
      </c>
      <c r="H41" s="5">
        <f t="shared" si="11"/>
        <v>-2.0215811247226156E-9</v>
      </c>
      <c r="I41" s="5">
        <f t="shared" si="12"/>
        <v>1.8410970579716377</v>
      </c>
      <c r="J41" s="5">
        <v>34</v>
      </c>
      <c r="N41">
        <f t="shared" si="13"/>
        <v>1.8410870583500778</v>
      </c>
      <c r="O41">
        <f t="shared" si="0"/>
        <v>-4.2253822631010962E-5</v>
      </c>
    </row>
    <row r="42" spans="1:19" x14ac:dyDescent="0.2">
      <c r="A42">
        <f t="shared" si="4"/>
        <v>1.8410970579716377</v>
      </c>
      <c r="B42">
        <f t="shared" si="5"/>
        <v>-2.0215811247226156E-9</v>
      </c>
      <c r="C42">
        <f t="shared" si="6"/>
        <v>1.8410970584955066</v>
      </c>
      <c r="D42">
        <f t="shared" si="7"/>
        <v>1.9194779099507286E-10</v>
      </c>
      <c r="E42">
        <f t="shared" si="8"/>
        <v>1.8410970582335722</v>
      </c>
      <c r="F42">
        <f t="shared" si="9"/>
        <v>-9.1481622277456154E-10</v>
      </c>
      <c r="G42">
        <f t="shared" si="10"/>
        <v>5.2386894822120667E-10</v>
      </c>
      <c r="H42" s="5">
        <f t="shared" si="11"/>
        <v>-9.1481622277456154E-10</v>
      </c>
      <c r="I42" s="5">
        <f t="shared" si="12"/>
        <v>1.8410970582335722</v>
      </c>
      <c r="J42" s="5">
        <v>35</v>
      </c>
      <c r="N42" s="10">
        <f t="shared" ref="N42" si="61">Q39</f>
        <v>1.8410970584500788</v>
      </c>
      <c r="O42">
        <f t="shared" si="0"/>
        <v>0</v>
      </c>
      <c r="P42">
        <f t="shared" ref="P42:P105" si="62">(O41-O43)/(N41-N43)</f>
        <v>4.225348534256625</v>
      </c>
      <c r="Q42" s="10">
        <f t="shared" ref="Q42" si="63">N42-O42/P42</f>
        <v>1.8410970584500788</v>
      </c>
      <c r="R42">
        <v>12</v>
      </c>
      <c r="S42">
        <f t="shared" ref="S42:S105" si="64">N42</f>
        <v>1.8410970584500788</v>
      </c>
    </row>
    <row r="43" spans="1:19" x14ac:dyDescent="0.2">
      <c r="A43">
        <f t="shared" si="4"/>
        <v>1.8410970582335722</v>
      </c>
      <c r="B43">
        <f t="shared" si="5"/>
        <v>-9.1481622277456154E-10</v>
      </c>
      <c r="C43">
        <f t="shared" si="6"/>
        <v>1.8410970584955066</v>
      </c>
      <c r="D43">
        <f t="shared" si="7"/>
        <v>1.9194779099507286E-10</v>
      </c>
      <c r="E43">
        <f t="shared" si="8"/>
        <v>1.8410970583645394</v>
      </c>
      <c r="F43">
        <f t="shared" si="9"/>
        <v>-3.6143399384513941E-10</v>
      </c>
      <c r="G43">
        <f t="shared" si="10"/>
        <v>2.6193447411060333E-10</v>
      </c>
      <c r="H43" s="5">
        <f t="shared" si="11"/>
        <v>-3.6143399384513941E-10</v>
      </c>
      <c r="I43" s="5">
        <f t="shared" si="12"/>
        <v>1.8410970583645394</v>
      </c>
      <c r="J43" s="5">
        <v>36</v>
      </c>
      <c r="N43">
        <f t="shared" si="19"/>
        <v>1.8411070585500797</v>
      </c>
      <c r="O43">
        <f t="shared" si="0"/>
        <v>4.2253993131957657E-5</v>
      </c>
    </row>
    <row r="44" spans="1:19" x14ac:dyDescent="0.2">
      <c r="A44">
        <f t="shared" si="4"/>
        <v>1.8410970583645394</v>
      </c>
      <c r="B44">
        <f t="shared" si="5"/>
        <v>-3.6143399384513941E-10</v>
      </c>
      <c r="C44">
        <f t="shared" si="6"/>
        <v>1.8410970584955066</v>
      </c>
      <c r="D44">
        <f t="shared" si="7"/>
        <v>1.9194779099507286E-10</v>
      </c>
      <c r="E44">
        <f t="shared" si="8"/>
        <v>1.841097058430023</v>
      </c>
      <c r="F44">
        <f t="shared" si="9"/>
        <v>-8.4742879380428349E-11</v>
      </c>
      <c r="G44">
        <f t="shared" si="10"/>
        <v>1.3096723705530167E-10</v>
      </c>
      <c r="H44" s="5">
        <f t="shared" si="11"/>
        <v>-8.4742879380428349E-11</v>
      </c>
      <c r="I44" s="5">
        <f t="shared" si="12"/>
        <v>1.841097058430023</v>
      </c>
      <c r="J44" s="5">
        <v>37</v>
      </c>
      <c r="N44">
        <f t="shared" si="13"/>
        <v>1.8410870583500778</v>
      </c>
      <c r="O44">
        <f t="shared" si="0"/>
        <v>-4.2253822631010962E-5</v>
      </c>
    </row>
    <row r="45" spans="1:19" x14ac:dyDescent="0.2">
      <c r="A45">
        <f t="shared" si="4"/>
        <v>1.841097058430023</v>
      </c>
      <c r="B45">
        <f t="shared" si="5"/>
        <v>-8.4742879380428349E-11</v>
      </c>
      <c r="C45">
        <f t="shared" si="6"/>
        <v>1.8410970584955066</v>
      </c>
      <c r="D45">
        <f t="shared" si="7"/>
        <v>1.9194779099507286E-10</v>
      </c>
      <c r="E45">
        <f t="shared" si="8"/>
        <v>1.8410970584627648</v>
      </c>
      <c r="F45">
        <f t="shared" si="9"/>
        <v>5.3603343985741958E-11</v>
      </c>
      <c r="G45">
        <f t="shared" si="10"/>
        <v>6.5483618527650833E-11</v>
      </c>
      <c r="H45" s="5">
        <f t="shared" si="11"/>
        <v>5.3603343985741958E-11</v>
      </c>
      <c r="I45" s="5">
        <f t="shared" si="12"/>
        <v>1.8410970584627648</v>
      </c>
      <c r="J45" s="5">
        <v>38</v>
      </c>
      <c r="N45" s="10">
        <f t="shared" ref="N45" si="65">Q42</f>
        <v>1.8410970584500788</v>
      </c>
      <c r="O45">
        <f t="shared" si="0"/>
        <v>0</v>
      </c>
      <c r="P45">
        <f t="shared" ref="P45:P108" si="66">(O44-O46)/(N44-N46)</f>
        <v>4.225348534256625</v>
      </c>
      <c r="Q45" s="10">
        <f t="shared" ref="Q45" si="67">N45-O45/P45</f>
        <v>1.8410970584500788</v>
      </c>
      <c r="R45">
        <v>13</v>
      </c>
      <c r="S45">
        <f t="shared" ref="S45:S108" si="68">N45</f>
        <v>1.8410970584500788</v>
      </c>
    </row>
    <row r="46" spans="1:19" x14ac:dyDescent="0.2">
      <c r="A46">
        <f t="shared" si="4"/>
        <v>1.841097058430023</v>
      </c>
      <c r="B46">
        <f t="shared" si="5"/>
        <v>-8.4742879380428349E-11</v>
      </c>
      <c r="C46">
        <f t="shared" si="6"/>
        <v>1.8410970584627648</v>
      </c>
      <c r="D46">
        <f t="shared" si="7"/>
        <v>5.3603343985741958E-11</v>
      </c>
      <c r="E46">
        <f t="shared" si="8"/>
        <v>1.8410970584463939</v>
      </c>
      <c r="F46">
        <f t="shared" si="9"/>
        <v>-1.5570211786553045E-11</v>
      </c>
      <c r="G46">
        <f t="shared" si="10"/>
        <v>3.2741809263825417E-11</v>
      </c>
      <c r="H46" s="5">
        <f t="shared" si="11"/>
        <v>-1.5570211786553045E-11</v>
      </c>
      <c r="I46" s="5">
        <f t="shared" si="12"/>
        <v>1.8410970584463939</v>
      </c>
      <c r="J46" s="5">
        <v>39</v>
      </c>
      <c r="N46">
        <f t="shared" si="19"/>
        <v>1.8411070585500797</v>
      </c>
      <c r="O46">
        <f t="shared" si="0"/>
        <v>4.2253993131957657E-5</v>
      </c>
    </row>
    <row r="47" spans="1:19" x14ac:dyDescent="0.2">
      <c r="A47">
        <f t="shared" si="4"/>
        <v>1.8410970584463939</v>
      </c>
      <c r="B47">
        <f t="shared" si="5"/>
        <v>-1.5570211786553045E-11</v>
      </c>
      <c r="C47">
        <f t="shared" si="6"/>
        <v>1.8410970584627648</v>
      </c>
      <c r="D47">
        <f t="shared" si="7"/>
        <v>5.3603343985741958E-11</v>
      </c>
      <c r="E47">
        <f t="shared" si="8"/>
        <v>1.8410970584545794</v>
      </c>
      <c r="F47">
        <f t="shared" si="9"/>
        <v>1.9015899965779681E-11</v>
      </c>
      <c r="G47">
        <f t="shared" si="10"/>
        <v>1.6370904631912708E-11</v>
      </c>
      <c r="H47" s="5">
        <f t="shared" si="11"/>
        <v>1.9015899965779681E-11</v>
      </c>
      <c r="I47" s="5">
        <f t="shared" si="12"/>
        <v>1.8410970584545794</v>
      </c>
      <c r="J47" s="5">
        <v>40</v>
      </c>
      <c r="N47">
        <f t="shared" si="13"/>
        <v>1.8410870583500778</v>
      </c>
      <c r="O47">
        <f t="shared" si="0"/>
        <v>-4.2253822631010962E-5</v>
      </c>
    </row>
    <row r="48" spans="1:19" x14ac:dyDescent="0.2">
      <c r="A48">
        <f t="shared" si="4"/>
        <v>1.8410970584463939</v>
      </c>
      <c r="B48">
        <f t="shared" si="5"/>
        <v>-1.5570211786553045E-11</v>
      </c>
      <c r="C48">
        <f t="shared" si="6"/>
        <v>1.8410970584545794</v>
      </c>
      <c r="D48">
        <f t="shared" si="7"/>
        <v>1.9015899965779681E-11</v>
      </c>
      <c r="E48">
        <f t="shared" si="8"/>
        <v>1.8410970584504867</v>
      </c>
      <c r="F48">
        <f t="shared" si="9"/>
        <v>1.723066134218243E-12</v>
      </c>
      <c r="G48">
        <f t="shared" si="10"/>
        <v>8.1854523159563541E-12</v>
      </c>
      <c r="H48" s="5">
        <f t="shared" si="11"/>
        <v>1.723066134218243E-12</v>
      </c>
      <c r="I48" s="5">
        <f t="shared" si="12"/>
        <v>1.8410970584504867</v>
      </c>
      <c r="J48" s="5">
        <v>41</v>
      </c>
      <c r="N48" s="10">
        <f t="shared" ref="N48" si="69">Q45</f>
        <v>1.8410970584500788</v>
      </c>
      <c r="O48">
        <f t="shared" si="0"/>
        <v>0</v>
      </c>
      <c r="P48">
        <f t="shared" ref="P48:P111" si="70">(O47-O49)/(N47-N49)</f>
        <v>4.225348534256625</v>
      </c>
      <c r="Q48" s="10">
        <f t="shared" ref="Q48" si="71">N48-O48/P48</f>
        <v>1.8410970584500788</v>
      </c>
      <c r="R48">
        <v>14</v>
      </c>
      <c r="S48">
        <f t="shared" ref="S48:S111" si="72">N48</f>
        <v>1.8410970584500788</v>
      </c>
    </row>
    <row r="49" spans="1:19" x14ac:dyDescent="0.2">
      <c r="A49">
        <f t="shared" si="4"/>
        <v>1.8410970584463939</v>
      </c>
      <c r="B49">
        <f t="shared" si="5"/>
        <v>-1.5570211786553045E-11</v>
      </c>
      <c r="C49">
        <f t="shared" si="6"/>
        <v>1.8410970584504867</v>
      </c>
      <c r="D49">
        <f t="shared" si="7"/>
        <v>1.723066134218243E-12</v>
      </c>
      <c r="E49">
        <f t="shared" si="8"/>
        <v>1.8410970584484403</v>
      </c>
      <c r="F49">
        <f t="shared" si="9"/>
        <v>-6.9233507815624762E-12</v>
      </c>
      <c r="G49">
        <f t="shared" si="10"/>
        <v>4.0927261579781771E-12</v>
      </c>
      <c r="H49" s="5">
        <f t="shared" si="11"/>
        <v>-6.9233507815624762E-12</v>
      </c>
      <c r="I49" s="5">
        <f t="shared" si="12"/>
        <v>1.8410970584484403</v>
      </c>
      <c r="J49" s="5">
        <v>42</v>
      </c>
      <c r="N49">
        <f t="shared" si="19"/>
        <v>1.8411070585500797</v>
      </c>
      <c r="O49">
        <f t="shared" si="0"/>
        <v>4.2253993131957657E-5</v>
      </c>
    </row>
    <row r="50" spans="1:19" x14ac:dyDescent="0.2">
      <c r="A50">
        <f t="shared" si="4"/>
        <v>1.8410970584484403</v>
      </c>
      <c r="B50">
        <f t="shared" si="5"/>
        <v>-6.9233507815624762E-12</v>
      </c>
      <c r="C50">
        <f t="shared" si="6"/>
        <v>1.8410970584504867</v>
      </c>
      <c r="D50">
        <f t="shared" si="7"/>
        <v>1.723066134218243E-12</v>
      </c>
      <c r="E50">
        <f t="shared" si="8"/>
        <v>1.8410970584494635</v>
      </c>
      <c r="F50">
        <f t="shared" si="9"/>
        <v>-2.6005864128819667E-12</v>
      </c>
      <c r="G50">
        <f t="shared" si="10"/>
        <v>2.0463630789890885E-12</v>
      </c>
      <c r="H50" s="5">
        <f t="shared" si="11"/>
        <v>-2.6005864128819667E-12</v>
      </c>
      <c r="I50" s="5">
        <f t="shared" si="12"/>
        <v>1.8410970584494635</v>
      </c>
      <c r="J50" s="5">
        <v>43</v>
      </c>
      <c r="N50">
        <f t="shared" si="13"/>
        <v>1.8410870583500778</v>
      </c>
      <c r="O50">
        <f t="shared" si="0"/>
        <v>-4.2253822631010962E-5</v>
      </c>
    </row>
    <row r="51" spans="1:19" x14ac:dyDescent="0.2">
      <c r="A51">
        <f t="shared" si="4"/>
        <v>1.8410970584494635</v>
      </c>
      <c r="B51">
        <f t="shared" si="5"/>
        <v>-2.6005864128819667E-12</v>
      </c>
      <c r="C51">
        <f t="shared" si="6"/>
        <v>1.8410970584504867</v>
      </c>
      <c r="D51">
        <f t="shared" si="7"/>
        <v>1.723066134218243E-12</v>
      </c>
      <c r="E51">
        <f t="shared" si="8"/>
        <v>1.8410970584499751</v>
      </c>
      <c r="F51">
        <f t="shared" si="9"/>
        <v>-4.3876013933186186E-13</v>
      </c>
      <c r="G51">
        <f t="shared" si="10"/>
        <v>1.0231815394945443E-12</v>
      </c>
      <c r="H51" s="5">
        <f t="shared" si="11"/>
        <v>-4.3876013933186186E-13</v>
      </c>
      <c r="I51" s="5">
        <f t="shared" si="12"/>
        <v>1.8410970584499751</v>
      </c>
      <c r="J51" s="5">
        <v>44</v>
      </c>
      <c r="N51" s="10">
        <f t="shared" ref="N51" si="73">Q48</f>
        <v>1.8410970584500788</v>
      </c>
      <c r="O51">
        <f t="shared" si="0"/>
        <v>0</v>
      </c>
      <c r="P51">
        <f t="shared" ref="P51:P114" si="74">(O50-O52)/(N50-N52)</f>
        <v>4.225348534256625</v>
      </c>
      <c r="Q51" s="10">
        <f t="shared" ref="Q51" si="75">N51-O51/P51</f>
        <v>1.8410970584500788</v>
      </c>
      <c r="R51">
        <v>15</v>
      </c>
      <c r="S51">
        <f t="shared" ref="S51:S114" si="76">N51</f>
        <v>1.8410970584500788</v>
      </c>
    </row>
    <row r="52" spans="1:19" x14ac:dyDescent="0.2">
      <c r="A52">
        <f t="shared" si="4"/>
        <v>1.8410970584499751</v>
      </c>
      <c r="B52">
        <f t="shared" si="5"/>
        <v>-4.3876013933186186E-13</v>
      </c>
      <c r="C52">
        <f t="shared" si="6"/>
        <v>1.8410970584504867</v>
      </c>
      <c r="D52">
        <f t="shared" si="7"/>
        <v>1.723066134218243E-12</v>
      </c>
      <c r="E52">
        <f t="shared" si="8"/>
        <v>1.8410970584502309</v>
      </c>
      <c r="F52">
        <f t="shared" si="9"/>
        <v>6.4215299744319054E-13</v>
      </c>
      <c r="G52">
        <f t="shared" si="10"/>
        <v>5.1159076974727213E-13</v>
      </c>
      <c r="H52" s="5">
        <f t="shared" si="11"/>
        <v>6.4215299744319054E-13</v>
      </c>
      <c r="I52" s="5">
        <f t="shared" si="12"/>
        <v>1.8410970584502309</v>
      </c>
      <c r="J52" s="5">
        <v>45</v>
      </c>
      <c r="N52">
        <f t="shared" si="19"/>
        <v>1.8411070585500797</v>
      </c>
      <c r="O52">
        <f t="shared" si="0"/>
        <v>4.2253993131957657E-5</v>
      </c>
    </row>
    <row r="53" spans="1:19" x14ac:dyDescent="0.2">
      <c r="A53">
        <f t="shared" si="4"/>
        <v>1.8410970584499751</v>
      </c>
      <c r="B53">
        <f t="shared" si="5"/>
        <v>-4.3876013933186186E-13</v>
      </c>
      <c r="C53">
        <f t="shared" si="6"/>
        <v>1.8410970584502309</v>
      </c>
      <c r="D53">
        <f t="shared" si="7"/>
        <v>6.4215299744319054E-13</v>
      </c>
      <c r="E53">
        <f t="shared" si="8"/>
        <v>1.841097058450103</v>
      </c>
      <c r="F53">
        <f t="shared" si="9"/>
        <v>1.021405182655144E-13</v>
      </c>
      <c r="G53">
        <f t="shared" si="10"/>
        <v>2.5579538487363607E-13</v>
      </c>
      <c r="H53" s="5">
        <f t="shared" si="11"/>
        <v>1.021405182655144E-13</v>
      </c>
      <c r="I53" s="5">
        <f t="shared" si="12"/>
        <v>1.841097058450103</v>
      </c>
      <c r="J53" s="5">
        <v>46</v>
      </c>
      <c r="N53">
        <f t="shared" si="13"/>
        <v>1.8410870583500778</v>
      </c>
      <c r="O53">
        <f t="shared" si="0"/>
        <v>-4.2253822631010962E-5</v>
      </c>
    </row>
    <row r="54" spans="1:19" x14ac:dyDescent="0.2">
      <c r="A54">
        <f t="shared" si="4"/>
        <v>1.8410970584499751</v>
      </c>
      <c r="B54">
        <f t="shared" si="5"/>
        <v>-4.3876013933186186E-13</v>
      </c>
      <c r="C54">
        <f t="shared" si="6"/>
        <v>1.841097058450103</v>
      </c>
      <c r="D54">
        <f t="shared" si="7"/>
        <v>1.021405182655144E-13</v>
      </c>
      <c r="E54">
        <f t="shared" si="8"/>
        <v>1.841097058450039</v>
      </c>
      <c r="F54">
        <f t="shared" si="9"/>
        <v>-1.6830981053317373E-13</v>
      </c>
      <c r="G54">
        <f t="shared" si="10"/>
        <v>1.2789769243681803E-13</v>
      </c>
      <c r="H54" s="5">
        <f t="shared" si="11"/>
        <v>-1.6830981053317373E-13</v>
      </c>
      <c r="I54" s="5">
        <f t="shared" si="12"/>
        <v>1.841097058450039</v>
      </c>
      <c r="J54" s="5">
        <v>47</v>
      </c>
      <c r="N54" s="10">
        <f t="shared" ref="N54" si="77">Q51</f>
        <v>1.8410970584500788</v>
      </c>
      <c r="O54">
        <f t="shared" si="0"/>
        <v>0</v>
      </c>
      <c r="P54">
        <f t="shared" ref="P54:P117" si="78">(O53-O55)/(N53-N55)</f>
        <v>4.225348534256625</v>
      </c>
      <c r="Q54" s="10">
        <f t="shared" ref="Q54" si="79">N54-O54/P54</f>
        <v>1.8410970584500788</v>
      </c>
      <c r="R54">
        <v>16</v>
      </c>
      <c r="S54">
        <f t="shared" ref="S54:S117" si="80">N54</f>
        <v>1.8410970584500788</v>
      </c>
    </row>
    <row r="55" spans="1:19" x14ac:dyDescent="0.2">
      <c r="A55">
        <f t="shared" si="4"/>
        <v>1.841097058450039</v>
      </c>
      <c r="B55">
        <f t="shared" si="5"/>
        <v>-1.6830981053317373E-13</v>
      </c>
      <c r="C55">
        <f t="shared" si="6"/>
        <v>1.841097058450103</v>
      </c>
      <c r="D55">
        <f t="shared" si="7"/>
        <v>1.021405182655144E-13</v>
      </c>
      <c r="E55">
        <f t="shared" si="8"/>
        <v>1.841097058450071</v>
      </c>
      <c r="F55">
        <f t="shared" si="9"/>
        <v>-3.2862601528904634E-14</v>
      </c>
      <c r="G55">
        <f t="shared" si="10"/>
        <v>6.3948846218409017E-14</v>
      </c>
      <c r="H55" s="5">
        <f t="shared" si="11"/>
        <v>-3.2862601528904634E-14</v>
      </c>
      <c r="I55" s="5">
        <f t="shared" si="12"/>
        <v>1.841097058450071</v>
      </c>
      <c r="J55" s="5">
        <v>48</v>
      </c>
      <c r="N55">
        <f t="shared" si="19"/>
        <v>1.8411070585500797</v>
      </c>
      <c r="O55">
        <f t="shared" si="0"/>
        <v>4.2253993131957657E-5</v>
      </c>
    </row>
    <row r="56" spans="1:19" x14ac:dyDescent="0.2">
      <c r="A56">
        <f t="shared" si="4"/>
        <v>1.841097058450071</v>
      </c>
      <c r="B56">
        <f t="shared" si="5"/>
        <v>-3.2862601528904634E-14</v>
      </c>
      <c r="C56">
        <f t="shared" si="6"/>
        <v>1.841097058450103</v>
      </c>
      <c r="D56">
        <f t="shared" si="7"/>
        <v>1.021405182655144E-13</v>
      </c>
      <c r="E56">
        <f t="shared" si="8"/>
        <v>1.841097058450087</v>
      </c>
      <c r="F56">
        <f t="shared" si="9"/>
        <v>3.3750779948604759E-14</v>
      </c>
      <c r="G56">
        <f t="shared" si="10"/>
        <v>3.1974423109204508E-14</v>
      </c>
      <c r="H56" s="5">
        <f t="shared" si="11"/>
        <v>3.3750779948604759E-14</v>
      </c>
      <c r="I56" s="5">
        <f t="shared" si="12"/>
        <v>1.841097058450087</v>
      </c>
      <c r="J56" s="5">
        <v>49</v>
      </c>
      <c r="N56">
        <f t="shared" si="13"/>
        <v>1.8410870583500778</v>
      </c>
      <c r="O56">
        <f t="shared" si="0"/>
        <v>-4.2253822631010962E-5</v>
      </c>
    </row>
    <row r="57" spans="1:19" x14ac:dyDescent="0.2">
      <c r="A57">
        <f t="shared" si="4"/>
        <v>1.841097058450071</v>
      </c>
      <c r="B57">
        <f t="shared" si="5"/>
        <v>-3.2862601528904634E-14</v>
      </c>
      <c r="C57">
        <f t="shared" si="6"/>
        <v>1.841097058450087</v>
      </c>
      <c r="D57">
        <f t="shared" si="7"/>
        <v>3.3750779948604759E-14</v>
      </c>
      <c r="E57">
        <f t="shared" si="8"/>
        <v>1.841097058450079</v>
      </c>
      <c r="F57">
        <f t="shared" si="9"/>
        <v>0</v>
      </c>
      <c r="G57">
        <f t="shared" si="10"/>
        <v>1.5987211554602254E-14</v>
      </c>
      <c r="H57" s="5">
        <f t="shared" si="11"/>
        <v>0</v>
      </c>
      <c r="I57" s="5">
        <f t="shared" si="12"/>
        <v>1.841097058450079</v>
      </c>
      <c r="J57" s="5">
        <v>50</v>
      </c>
      <c r="N57" s="10">
        <f t="shared" ref="N57" si="81">Q54</f>
        <v>1.8410970584500788</v>
      </c>
      <c r="O57">
        <f t="shared" si="0"/>
        <v>0</v>
      </c>
      <c r="P57">
        <f t="shared" ref="P57:P120" si="82">(O56-O58)/(N56-N58)</f>
        <v>4.225348534256625</v>
      </c>
      <c r="Q57" s="10">
        <f t="shared" ref="Q57" si="83">N57-O57/P57</f>
        <v>1.8410970584500788</v>
      </c>
      <c r="R57">
        <v>17</v>
      </c>
      <c r="S57">
        <f t="shared" ref="S57:S120" si="84">N57</f>
        <v>1.8410970584500788</v>
      </c>
    </row>
    <row r="58" spans="1:19" x14ac:dyDescent="0.2">
      <c r="A58" t="b">
        <f t="shared" si="4"/>
        <v>0</v>
      </c>
      <c r="B58" t="e">
        <f t="shared" si="5"/>
        <v>#NUM!</v>
      </c>
      <c r="C58" t="b">
        <f t="shared" si="6"/>
        <v>0</v>
      </c>
      <c r="D58" t="e">
        <f t="shared" si="7"/>
        <v>#NUM!</v>
      </c>
      <c r="E58">
        <f t="shared" si="8"/>
        <v>0</v>
      </c>
      <c r="F58" t="e">
        <f t="shared" si="9"/>
        <v>#NUM!</v>
      </c>
      <c r="G58">
        <f t="shared" si="10"/>
        <v>0</v>
      </c>
      <c r="H58" s="5">
        <f t="shared" si="11"/>
        <v>999</v>
      </c>
      <c r="I58" s="5">
        <f t="shared" si="12"/>
        <v>0</v>
      </c>
      <c r="J58" s="5">
        <v>51</v>
      </c>
      <c r="N58">
        <f t="shared" si="19"/>
        <v>1.8411070585500797</v>
      </c>
      <c r="O58">
        <f t="shared" si="0"/>
        <v>4.2253993131957657E-5</v>
      </c>
    </row>
    <row r="59" spans="1:19" x14ac:dyDescent="0.2">
      <c r="A59" t="e">
        <f t="shared" si="4"/>
        <v>#NUM!</v>
      </c>
      <c r="B59" t="e">
        <f t="shared" si="5"/>
        <v>#NUM!</v>
      </c>
      <c r="C59" t="e">
        <f t="shared" si="6"/>
        <v>#NUM!</v>
      </c>
      <c r="D59" t="e">
        <f t="shared" si="7"/>
        <v>#NUM!</v>
      </c>
      <c r="E59" t="e">
        <f t="shared" si="8"/>
        <v>#NUM!</v>
      </c>
      <c r="F59" t="e">
        <f t="shared" si="9"/>
        <v>#NUM!</v>
      </c>
      <c r="G59" t="e">
        <f t="shared" si="10"/>
        <v>#NUM!</v>
      </c>
      <c r="H59" s="5" t="e">
        <f t="shared" si="11"/>
        <v>#NUM!</v>
      </c>
      <c r="I59" s="5" t="e">
        <f t="shared" si="12"/>
        <v>#NUM!</v>
      </c>
      <c r="J59" s="5">
        <v>52</v>
      </c>
      <c r="N59">
        <f t="shared" si="13"/>
        <v>1.8410870583500778</v>
      </c>
      <c r="O59">
        <f t="shared" si="0"/>
        <v>-4.2253822631010962E-5</v>
      </c>
    </row>
    <row r="60" spans="1:19" x14ac:dyDescent="0.2">
      <c r="A60" t="e">
        <f t="shared" si="4"/>
        <v>#NUM!</v>
      </c>
      <c r="B60" t="e">
        <f t="shared" si="5"/>
        <v>#NUM!</v>
      </c>
      <c r="C60" t="e">
        <f t="shared" si="6"/>
        <v>#NUM!</v>
      </c>
      <c r="D60" t="e">
        <f t="shared" si="7"/>
        <v>#NUM!</v>
      </c>
      <c r="E60" t="e">
        <f t="shared" si="8"/>
        <v>#NUM!</v>
      </c>
      <c r="F60" t="e">
        <f t="shared" si="9"/>
        <v>#NUM!</v>
      </c>
      <c r="G60" t="e">
        <f t="shared" si="10"/>
        <v>#NUM!</v>
      </c>
      <c r="H60" s="5" t="e">
        <f t="shared" si="11"/>
        <v>#NUM!</v>
      </c>
      <c r="I60" s="5" t="e">
        <f t="shared" si="12"/>
        <v>#NUM!</v>
      </c>
      <c r="J60" s="5">
        <v>53</v>
      </c>
      <c r="N60" s="10">
        <f t="shared" ref="N60" si="85">Q57</f>
        <v>1.8410970584500788</v>
      </c>
      <c r="O60">
        <f t="shared" si="0"/>
        <v>0</v>
      </c>
      <c r="P60">
        <f t="shared" ref="P60:P123" si="86">(O59-O61)/(N59-N61)</f>
        <v>4.225348534256625</v>
      </c>
      <c r="Q60" s="10">
        <f t="shared" ref="Q60" si="87">N60-O60/P60</f>
        <v>1.8410970584500788</v>
      </c>
      <c r="R60">
        <v>18</v>
      </c>
      <c r="S60">
        <f t="shared" ref="S60:S123" si="88">N60</f>
        <v>1.8410970584500788</v>
      </c>
    </row>
    <row r="61" spans="1:19" x14ac:dyDescent="0.2">
      <c r="A61" t="e">
        <f t="shared" si="4"/>
        <v>#NUM!</v>
      </c>
      <c r="B61" t="e">
        <f t="shared" si="5"/>
        <v>#NUM!</v>
      </c>
      <c r="C61" t="e">
        <f t="shared" si="6"/>
        <v>#NUM!</v>
      </c>
      <c r="D61" t="e">
        <f t="shared" si="7"/>
        <v>#NUM!</v>
      </c>
      <c r="E61" t="e">
        <f t="shared" si="8"/>
        <v>#NUM!</v>
      </c>
      <c r="F61" t="e">
        <f t="shared" si="9"/>
        <v>#NUM!</v>
      </c>
      <c r="G61" t="e">
        <f t="shared" si="10"/>
        <v>#NUM!</v>
      </c>
      <c r="H61" s="5" t="e">
        <f t="shared" si="11"/>
        <v>#NUM!</v>
      </c>
      <c r="I61" s="5" t="e">
        <f t="shared" si="12"/>
        <v>#NUM!</v>
      </c>
      <c r="J61" s="5">
        <v>54</v>
      </c>
      <c r="N61">
        <f t="shared" si="19"/>
        <v>1.8411070585500797</v>
      </c>
      <c r="O61">
        <f t="shared" si="0"/>
        <v>4.2253993131957657E-5</v>
      </c>
    </row>
    <row r="62" spans="1:19" x14ac:dyDescent="0.2">
      <c r="A62" t="e">
        <f t="shared" si="4"/>
        <v>#NUM!</v>
      </c>
      <c r="B62" t="e">
        <f t="shared" si="5"/>
        <v>#NUM!</v>
      </c>
      <c r="C62" t="e">
        <f t="shared" si="6"/>
        <v>#NUM!</v>
      </c>
      <c r="D62" t="e">
        <f t="shared" si="7"/>
        <v>#NUM!</v>
      </c>
      <c r="E62" t="e">
        <f t="shared" si="8"/>
        <v>#NUM!</v>
      </c>
      <c r="F62" t="e">
        <f t="shared" si="9"/>
        <v>#NUM!</v>
      </c>
      <c r="G62" t="e">
        <f t="shared" si="10"/>
        <v>#NUM!</v>
      </c>
      <c r="H62" s="5" t="e">
        <f t="shared" si="11"/>
        <v>#NUM!</v>
      </c>
      <c r="I62" s="5" t="e">
        <f t="shared" si="12"/>
        <v>#NUM!</v>
      </c>
      <c r="J62" s="5">
        <v>55</v>
      </c>
      <c r="N62">
        <f t="shared" si="13"/>
        <v>1.8410870583500778</v>
      </c>
      <c r="O62">
        <f t="shared" si="0"/>
        <v>-4.2253822631010962E-5</v>
      </c>
    </row>
    <row r="63" spans="1:19" x14ac:dyDescent="0.2">
      <c r="A63" t="e">
        <f t="shared" si="4"/>
        <v>#NUM!</v>
      </c>
      <c r="B63" t="e">
        <f t="shared" si="5"/>
        <v>#NUM!</v>
      </c>
      <c r="C63" t="e">
        <f t="shared" si="6"/>
        <v>#NUM!</v>
      </c>
      <c r="D63" t="e">
        <f t="shared" si="7"/>
        <v>#NUM!</v>
      </c>
      <c r="E63" t="e">
        <f t="shared" si="8"/>
        <v>#NUM!</v>
      </c>
      <c r="F63" t="e">
        <f t="shared" si="9"/>
        <v>#NUM!</v>
      </c>
      <c r="G63" t="e">
        <f t="shared" si="10"/>
        <v>#NUM!</v>
      </c>
      <c r="H63" s="5" t="e">
        <f t="shared" si="11"/>
        <v>#NUM!</v>
      </c>
      <c r="I63" s="5" t="e">
        <f t="shared" si="12"/>
        <v>#NUM!</v>
      </c>
      <c r="J63" s="5">
        <v>56</v>
      </c>
      <c r="N63" s="10">
        <f t="shared" ref="N63" si="89">Q60</f>
        <v>1.8410970584500788</v>
      </c>
      <c r="O63">
        <f t="shared" si="0"/>
        <v>0</v>
      </c>
      <c r="P63">
        <f t="shared" ref="P63:P126" si="90">(O62-O64)/(N62-N64)</f>
        <v>4.225348534256625</v>
      </c>
      <c r="Q63" s="10">
        <f t="shared" ref="Q63" si="91">N63-O63/P63</f>
        <v>1.8410970584500788</v>
      </c>
      <c r="R63">
        <v>19</v>
      </c>
      <c r="S63">
        <f t="shared" ref="S63:S126" si="92">N63</f>
        <v>1.8410970584500788</v>
      </c>
    </row>
    <row r="64" spans="1:19" x14ac:dyDescent="0.2">
      <c r="A64" t="e">
        <f t="shared" si="4"/>
        <v>#NUM!</v>
      </c>
      <c r="B64" t="e">
        <f t="shared" si="5"/>
        <v>#NUM!</v>
      </c>
      <c r="C64" t="e">
        <f t="shared" si="6"/>
        <v>#NUM!</v>
      </c>
      <c r="D64" t="e">
        <f t="shared" si="7"/>
        <v>#NUM!</v>
      </c>
      <c r="E64" t="e">
        <f t="shared" si="8"/>
        <v>#NUM!</v>
      </c>
      <c r="F64" t="e">
        <f t="shared" si="9"/>
        <v>#NUM!</v>
      </c>
      <c r="G64" t="e">
        <f t="shared" si="10"/>
        <v>#NUM!</v>
      </c>
      <c r="H64" s="5" t="e">
        <f t="shared" si="11"/>
        <v>#NUM!</v>
      </c>
      <c r="I64" s="5" t="e">
        <f t="shared" si="12"/>
        <v>#NUM!</v>
      </c>
      <c r="J64" s="5">
        <v>57</v>
      </c>
      <c r="N64">
        <f t="shared" si="19"/>
        <v>1.8411070585500797</v>
      </c>
      <c r="O64">
        <f t="shared" si="0"/>
        <v>4.2253993131957657E-5</v>
      </c>
    </row>
    <row r="65" spans="1:19" x14ac:dyDescent="0.2">
      <c r="A65" t="e">
        <f t="shared" si="4"/>
        <v>#NUM!</v>
      </c>
      <c r="B65" t="e">
        <f t="shared" si="5"/>
        <v>#NUM!</v>
      </c>
      <c r="C65" t="e">
        <f t="shared" si="6"/>
        <v>#NUM!</v>
      </c>
      <c r="D65" t="e">
        <f t="shared" si="7"/>
        <v>#NUM!</v>
      </c>
      <c r="E65" t="e">
        <f t="shared" si="8"/>
        <v>#NUM!</v>
      </c>
      <c r="F65" t="e">
        <f t="shared" si="9"/>
        <v>#NUM!</v>
      </c>
      <c r="G65" t="e">
        <f t="shared" si="10"/>
        <v>#NUM!</v>
      </c>
      <c r="H65" s="5" t="e">
        <f t="shared" si="11"/>
        <v>#NUM!</v>
      </c>
      <c r="I65" s="5" t="e">
        <f t="shared" si="12"/>
        <v>#NUM!</v>
      </c>
      <c r="J65" s="5">
        <v>58</v>
      </c>
      <c r="N65">
        <f t="shared" si="13"/>
        <v>1.8410870583500778</v>
      </c>
      <c r="O65">
        <f t="shared" si="0"/>
        <v>-4.2253822631010962E-5</v>
      </c>
    </row>
    <row r="66" spans="1:19" x14ac:dyDescent="0.2">
      <c r="A66" t="e">
        <f t="shared" si="4"/>
        <v>#NUM!</v>
      </c>
      <c r="B66" t="e">
        <f t="shared" si="5"/>
        <v>#NUM!</v>
      </c>
      <c r="C66" t="e">
        <f t="shared" si="6"/>
        <v>#NUM!</v>
      </c>
      <c r="D66" t="e">
        <f t="shared" si="7"/>
        <v>#NUM!</v>
      </c>
      <c r="E66" t="e">
        <f t="shared" si="8"/>
        <v>#NUM!</v>
      </c>
      <c r="F66" t="e">
        <f t="shared" si="9"/>
        <v>#NUM!</v>
      </c>
      <c r="G66" t="e">
        <f t="shared" si="10"/>
        <v>#NUM!</v>
      </c>
      <c r="H66" s="5" t="e">
        <f t="shared" si="11"/>
        <v>#NUM!</v>
      </c>
      <c r="I66" s="5" t="e">
        <f t="shared" si="12"/>
        <v>#NUM!</v>
      </c>
      <c r="J66" s="5">
        <v>59</v>
      </c>
      <c r="N66" s="10">
        <f t="shared" ref="N66" si="93">Q63</f>
        <v>1.8410970584500788</v>
      </c>
      <c r="O66">
        <f t="shared" si="0"/>
        <v>0</v>
      </c>
      <c r="P66">
        <f t="shared" ref="P66:P129" si="94">(O65-O67)/(N65-N67)</f>
        <v>4.225348534256625</v>
      </c>
      <c r="Q66" s="10">
        <f t="shared" ref="Q66" si="95">N66-O66/P66</f>
        <v>1.8410970584500788</v>
      </c>
      <c r="R66">
        <v>20</v>
      </c>
      <c r="S66">
        <f t="shared" ref="S66:S129" si="96">N66</f>
        <v>1.8410970584500788</v>
      </c>
    </row>
    <row r="67" spans="1:19" x14ac:dyDescent="0.2">
      <c r="A67" t="e">
        <f t="shared" si="4"/>
        <v>#NUM!</v>
      </c>
      <c r="B67" t="e">
        <f t="shared" si="5"/>
        <v>#NUM!</v>
      </c>
      <c r="C67" t="e">
        <f t="shared" si="6"/>
        <v>#NUM!</v>
      </c>
      <c r="D67" t="e">
        <f t="shared" si="7"/>
        <v>#NUM!</v>
      </c>
      <c r="E67" t="e">
        <f t="shared" si="8"/>
        <v>#NUM!</v>
      </c>
      <c r="F67" t="e">
        <f t="shared" si="9"/>
        <v>#NUM!</v>
      </c>
      <c r="G67" t="e">
        <f t="shared" si="10"/>
        <v>#NUM!</v>
      </c>
      <c r="H67" s="5" t="e">
        <f t="shared" si="11"/>
        <v>#NUM!</v>
      </c>
      <c r="I67" s="5" t="e">
        <f t="shared" si="12"/>
        <v>#NUM!</v>
      </c>
      <c r="J67" s="5">
        <v>60</v>
      </c>
      <c r="N67">
        <f t="shared" si="19"/>
        <v>1.8411070585500797</v>
      </c>
      <c r="O67">
        <f t="shared" si="0"/>
        <v>4.2253993131957657E-5</v>
      </c>
    </row>
    <row r="68" spans="1:19" x14ac:dyDescent="0.2">
      <c r="A68" t="e">
        <f t="shared" si="4"/>
        <v>#NUM!</v>
      </c>
      <c r="B68" t="e">
        <f t="shared" si="5"/>
        <v>#NUM!</v>
      </c>
      <c r="C68" t="e">
        <f t="shared" si="6"/>
        <v>#NUM!</v>
      </c>
      <c r="D68" t="e">
        <f t="shared" si="7"/>
        <v>#NUM!</v>
      </c>
      <c r="E68" t="e">
        <f t="shared" si="8"/>
        <v>#NUM!</v>
      </c>
      <c r="F68" t="e">
        <f t="shared" si="9"/>
        <v>#NUM!</v>
      </c>
      <c r="G68" t="e">
        <f t="shared" si="10"/>
        <v>#NUM!</v>
      </c>
      <c r="H68" s="5" t="e">
        <f t="shared" si="11"/>
        <v>#NUM!</v>
      </c>
      <c r="I68" s="5" t="e">
        <f t="shared" si="12"/>
        <v>#NUM!</v>
      </c>
      <c r="J68" s="5">
        <v>61</v>
      </c>
      <c r="N68">
        <f t="shared" si="13"/>
        <v>1.8410870583500778</v>
      </c>
      <c r="O68">
        <f t="shared" si="0"/>
        <v>-4.2253822631010962E-5</v>
      </c>
    </row>
    <row r="69" spans="1:19" x14ac:dyDescent="0.2">
      <c r="A69" t="e">
        <f t="shared" si="4"/>
        <v>#NUM!</v>
      </c>
      <c r="B69" t="e">
        <f t="shared" si="5"/>
        <v>#NUM!</v>
      </c>
      <c r="C69" t="e">
        <f t="shared" si="6"/>
        <v>#NUM!</v>
      </c>
      <c r="D69" t="e">
        <f t="shared" si="7"/>
        <v>#NUM!</v>
      </c>
      <c r="E69" t="e">
        <f t="shared" si="8"/>
        <v>#NUM!</v>
      </c>
      <c r="F69" t="e">
        <f t="shared" si="9"/>
        <v>#NUM!</v>
      </c>
      <c r="G69" t="e">
        <f t="shared" si="10"/>
        <v>#NUM!</v>
      </c>
      <c r="H69" s="5" t="e">
        <f t="shared" si="11"/>
        <v>#NUM!</v>
      </c>
      <c r="I69" s="5" t="e">
        <f t="shared" si="12"/>
        <v>#NUM!</v>
      </c>
      <c r="J69" s="5">
        <v>62</v>
      </c>
      <c r="N69" s="10">
        <f t="shared" ref="N69" si="97">Q66</f>
        <v>1.8410970584500788</v>
      </c>
      <c r="O69">
        <f t="shared" si="0"/>
        <v>0</v>
      </c>
      <c r="P69">
        <f t="shared" ref="P69:P132" si="98">(O68-O70)/(N68-N70)</f>
        <v>4.225348534256625</v>
      </c>
      <c r="Q69" s="10">
        <f t="shared" ref="Q69" si="99">N69-O69/P69</f>
        <v>1.8410970584500788</v>
      </c>
      <c r="R69">
        <v>21</v>
      </c>
      <c r="S69">
        <f t="shared" ref="S69:S132" si="100">N69</f>
        <v>1.8410970584500788</v>
      </c>
    </row>
    <row r="70" spans="1:19" x14ac:dyDescent="0.2">
      <c r="A70" t="e">
        <f t="shared" si="4"/>
        <v>#NUM!</v>
      </c>
      <c r="B70" t="e">
        <f t="shared" si="5"/>
        <v>#NUM!</v>
      </c>
      <c r="C70" t="e">
        <f t="shared" si="6"/>
        <v>#NUM!</v>
      </c>
      <c r="D70" t="e">
        <f t="shared" si="7"/>
        <v>#NUM!</v>
      </c>
      <c r="E70" t="e">
        <f t="shared" si="8"/>
        <v>#NUM!</v>
      </c>
      <c r="F70" t="e">
        <f t="shared" si="9"/>
        <v>#NUM!</v>
      </c>
      <c r="G70" t="e">
        <f t="shared" si="10"/>
        <v>#NUM!</v>
      </c>
      <c r="H70" s="5" t="e">
        <f t="shared" si="11"/>
        <v>#NUM!</v>
      </c>
      <c r="I70" s="5" t="e">
        <f t="shared" si="12"/>
        <v>#NUM!</v>
      </c>
      <c r="J70" s="5">
        <v>63</v>
      </c>
      <c r="N70">
        <f t="shared" si="19"/>
        <v>1.8411070585500797</v>
      </c>
      <c r="O70">
        <f t="shared" si="0"/>
        <v>4.2253993131957657E-5</v>
      </c>
    </row>
    <row r="71" spans="1:19" x14ac:dyDescent="0.2">
      <c r="A71" t="e">
        <f t="shared" si="4"/>
        <v>#NUM!</v>
      </c>
      <c r="B71" t="e">
        <f t="shared" si="5"/>
        <v>#NUM!</v>
      </c>
      <c r="C71" t="e">
        <f t="shared" si="6"/>
        <v>#NUM!</v>
      </c>
      <c r="D71" t="e">
        <f t="shared" si="7"/>
        <v>#NUM!</v>
      </c>
      <c r="E71" t="e">
        <f t="shared" si="8"/>
        <v>#NUM!</v>
      </c>
      <c r="F71" t="e">
        <f t="shared" si="9"/>
        <v>#NUM!</v>
      </c>
      <c r="G71" t="e">
        <f t="shared" si="10"/>
        <v>#NUM!</v>
      </c>
      <c r="H71" s="5" t="e">
        <f t="shared" si="11"/>
        <v>#NUM!</v>
      </c>
      <c r="I71" s="5" t="e">
        <f t="shared" si="12"/>
        <v>#NUM!</v>
      </c>
      <c r="J71" s="5">
        <v>64</v>
      </c>
      <c r="N71">
        <f t="shared" si="13"/>
        <v>1.8410870583500778</v>
      </c>
      <c r="O71">
        <f t="shared" si="0"/>
        <v>-4.2253822631010962E-5</v>
      </c>
    </row>
    <row r="72" spans="1:19" x14ac:dyDescent="0.2">
      <c r="A72" t="e">
        <f t="shared" si="4"/>
        <v>#NUM!</v>
      </c>
      <c r="B72" t="e">
        <f t="shared" si="5"/>
        <v>#NUM!</v>
      </c>
      <c r="C72" t="e">
        <f t="shared" si="6"/>
        <v>#NUM!</v>
      </c>
      <c r="D72" t="e">
        <f t="shared" si="7"/>
        <v>#NUM!</v>
      </c>
      <c r="E72" t="e">
        <f t="shared" si="8"/>
        <v>#NUM!</v>
      </c>
      <c r="F72" t="e">
        <f t="shared" si="9"/>
        <v>#NUM!</v>
      </c>
      <c r="G72" t="e">
        <f t="shared" si="10"/>
        <v>#NUM!</v>
      </c>
      <c r="H72" s="5" t="e">
        <f t="shared" si="11"/>
        <v>#NUM!</v>
      </c>
      <c r="I72" s="5" t="e">
        <f t="shared" si="12"/>
        <v>#NUM!</v>
      </c>
      <c r="J72" s="5">
        <v>65</v>
      </c>
      <c r="N72" s="10">
        <f t="shared" ref="N72" si="101">Q69</f>
        <v>1.8410970584500788</v>
      </c>
      <c r="O72">
        <f t="shared" ref="O72:O135" si="102">N72*N72+LN(N72)-4</f>
        <v>0</v>
      </c>
      <c r="P72">
        <f t="shared" ref="P72:P135" si="103">(O71-O73)/(N71-N73)</f>
        <v>4.225348534256625</v>
      </c>
      <c r="Q72" s="10">
        <f t="shared" ref="Q72" si="104">N72-O72/P72</f>
        <v>1.8410970584500788</v>
      </c>
      <c r="R72">
        <v>22</v>
      </c>
      <c r="S72">
        <f t="shared" ref="S72:S135" si="105">N72</f>
        <v>1.8410970584500788</v>
      </c>
    </row>
    <row r="73" spans="1:19" x14ac:dyDescent="0.2">
      <c r="A73" t="e">
        <f t="shared" si="4"/>
        <v>#NUM!</v>
      </c>
      <c r="B73" t="e">
        <f t="shared" si="5"/>
        <v>#NUM!</v>
      </c>
      <c r="C73" t="e">
        <f t="shared" si="6"/>
        <v>#NUM!</v>
      </c>
      <c r="D73" t="e">
        <f t="shared" si="7"/>
        <v>#NUM!</v>
      </c>
      <c r="E73" t="e">
        <f t="shared" si="8"/>
        <v>#NUM!</v>
      </c>
      <c r="F73" t="e">
        <f t="shared" si="9"/>
        <v>#NUM!</v>
      </c>
      <c r="G73" t="e">
        <f t="shared" si="10"/>
        <v>#NUM!</v>
      </c>
      <c r="H73" s="5" t="e">
        <f t="shared" si="11"/>
        <v>#NUM!</v>
      </c>
      <c r="I73" s="5" t="e">
        <f t="shared" si="12"/>
        <v>#NUM!</v>
      </c>
      <c r="J73" s="5">
        <v>66</v>
      </c>
      <c r="N73">
        <f t="shared" si="19"/>
        <v>1.8411070585500797</v>
      </c>
      <c r="O73">
        <f t="shared" si="102"/>
        <v>4.2253993131957657E-5</v>
      </c>
    </row>
    <row r="74" spans="1:19" x14ac:dyDescent="0.2">
      <c r="A74" t="e">
        <f t="shared" ref="A74:A137" si="106">IF(B73*F73&lt;0, MIN(A73,E73), IF(D73*F73&lt;0, MIN(C73,E73)))</f>
        <v>#NUM!</v>
      </c>
      <c r="B74" t="e">
        <f t="shared" ref="B74:B137" si="107">A74*A74+LN(A74)-4</f>
        <v>#NUM!</v>
      </c>
      <c r="C74" t="e">
        <f t="shared" ref="C74:C137" si="108">IF(B73*F73&lt;0, MAX(A73,E73), IF(D73*F73&lt;0, MAX(C73,E73)))</f>
        <v>#NUM!</v>
      </c>
      <c r="D74" t="e">
        <f t="shared" ref="D74:D137" si="109">C74*C74+LN(C74)-4</f>
        <v>#NUM!</v>
      </c>
      <c r="E74" t="e">
        <f t="shared" ref="E74:E137" si="110">(A74+C74)/2</f>
        <v>#NUM!</v>
      </c>
      <c r="F74" t="e">
        <f t="shared" ref="F74:F137" si="111">E74*E74+LN(E74)-4</f>
        <v>#NUM!</v>
      </c>
      <c r="G74" t="e">
        <f t="shared" ref="G74:G137" si="112">ABS(A74-C74)</f>
        <v>#NUM!</v>
      </c>
      <c r="H74" s="5" t="e">
        <f t="shared" ref="H74:H137" si="113">IF(A74=FALSE(), 999, F74)</f>
        <v>#NUM!</v>
      </c>
      <c r="I74" s="5" t="e">
        <f t="shared" ref="I74:I137" si="114">E74</f>
        <v>#NUM!</v>
      </c>
      <c r="J74" s="5">
        <v>67</v>
      </c>
      <c r="N74">
        <f t="shared" si="13"/>
        <v>1.8410870583500778</v>
      </c>
      <c r="O74">
        <f t="shared" si="102"/>
        <v>-4.2253822631010962E-5</v>
      </c>
    </row>
    <row r="75" spans="1:19" x14ac:dyDescent="0.2">
      <c r="A75" t="e">
        <f t="shared" si="106"/>
        <v>#NUM!</v>
      </c>
      <c r="B75" t="e">
        <f t="shared" si="107"/>
        <v>#NUM!</v>
      </c>
      <c r="C75" t="e">
        <f t="shared" si="108"/>
        <v>#NUM!</v>
      </c>
      <c r="D75" t="e">
        <f t="shared" si="109"/>
        <v>#NUM!</v>
      </c>
      <c r="E75" t="e">
        <f t="shared" si="110"/>
        <v>#NUM!</v>
      </c>
      <c r="F75" t="e">
        <f t="shared" si="111"/>
        <v>#NUM!</v>
      </c>
      <c r="G75" t="e">
        <f t="shared" si="112"/>
        <v>#NUM!</v>
      </c>
      <c r="H75" s="5" t="e">
        <f t="shared" si="113"/>
        <v>#NUM!</v>
      </c>
      <c r="I75" s="5" t="e">
        <f t="shared" si="114"/>
        <v>#NUM!</v>
      </c>
      <c r="J75" s="5">
        <v>68</v>
      </c>
      <c r="N75" s="10">
        <f t="shared" ref="N75" si="115">Q72</f>
        <v>1.8410970584500788</v>
      </c>
      <c r="O75">
        <f t="shared" si="102"/>
        <v>0</v>
      </c>
      <c r="P75">
        <f t="shared" ref="P75:P138" si="116">(O74-O76)/(N74-N76)</f>
        <v>4.225348534256625</v>
      </c>
      <c r="Q75" s="10">
        <f t="shared" ref="Q75" si="117">N75-O75/P75</f>
        <v>1.8410970584500788</v>
      </c>
      <c r="R75">
        <v>23</v>
      </c>
      <c r="S75">
        <f t="shared" ref="S75:S138" si="118">N75</f>
        <v>1.8410970584500788</v>
      </c>
    </row>
    <row r="76" spans="1:19" x14ac:dyDescent="0.2">
      <c r="A76" t="e">
        <f t="shared" si="106"/>
        <v>#NUM!</v>
      </c>
      <c r="B76" t="e">
        <f t="shared" si="107"/>
        <v>#NUM!</v>
      </c>
      <c r="C76" t="e">
        <f t="shared" si="108"/>
        <v>#NUM!</v>
      </c>
      <c r="D76" t="e">
        <f t="shared" si="109"/>
        <v>#NUM!</v>
      </c>
      <c r="E76" t="e">
        <f t="shared" si="110"/>
        <v>#NUM!</v>
      </c>
      <c r="F76" t="e">
        <f t="shared" si="111"/>
        <v>#NUM!</v>
      </c>
      <c r="G76" t="e">
        <f t="shared" si="112"/>
        <v>#NUM!</v>
      </c>
      <c r="H76" s="5" t="e">
        <f t="shared" si="113"/>
        <v>#NUM!</v>
      </c>
      <c r="I76" s="5" t="e">
        <f t="shared" si="114"/>
        <v>#NUM!</v>
      </c>
      <c r="J76" s="5">
        <v>69</v>
      </c>
      <c r="N76">
        <f t="shared" si="19"/>
        <v>1.8411070585500797</v>
      </c>
      <c r="O76">
        <f t="shared" si="102"/>
        <v>4.2253993131957657E-5</v>
      </c>
    </row>
    <row r="77" spans="1:19" x14ac:dyDescent="0.2">
      <c r="A77" t="e">
        <f t="shared" si="106"/>
        <v>#NUM!</v>
      </c>
      <c r="B77" t="e">
        <f t="shared" si="107"/>
        <v>#NUM!</v>
      </c>
      <c r="C77" t="e">
        <f t="shared" si="108"/>
        <v>#NUM!</v>
      </c>
      <c r="D77" t="e">
        <f t="shared" si="109"/>
        <v>#NUM!</v>
      </c>
      <c r="E77" t="e">
        <f t="shared" si="110"/>
        <v>#NUM!</v>
      </c>
      <c r="F77" t="e">
        <f t="shared" si="111"/>
        <v>#NUM!</v>
      </c>
      <c r="G77" t="e">
        <f t="shared" si="112"/>
        <v>#NUM!</v>
      </c>
      <c r="H77" s="5" t="e">
        <f t="shared" si="113"/>
        <v>#NUM!</v>
      </c>
      <c r="I77" s="5" t="e">
        <f t="shared" si="114"/>
        <v>#NUM!</v>
      </c>
      <c r="J77" s="5">
        <v>70</v>
      </c>
      <c r="N77">
        <f t="shared" ref="N77:N140" si="119">N78-1/99999</f>
        <v>1.8410870583500778</v>
      </c>
      <c r="O77">
        <f t="shared" si="102"/>
        <v>-4.2253822631010962E-5</v>
      </c>
    </row>
    <row r="78" spans="1:19" x14ac:dyDescent="0.2">
      <c r="A78" t="e">
        <f t="shared" si="106"/>
        <v>#NUM!</v>
      </c>
      <c r="B78" t="e">
        <f t="shared" si="107"/>
        <v>#NUM!</v>
      </c>
      <c r="C78" t="e">
        <f t="shared" si="108"/>
        <v>#NUM!</v>
      </c>
      <c r="D78" t="e">
        <f t="shared" si="109"/>
        <v>#NUM!</v>
      </c>
      <c r="E78" t="e">
        <f t="shared" si="110"/>
        <v>#NUM!</v>
      </c>
      <c r="F78" t="e">
        <f t="shared" si="111"/>
        <v>#NUM!</v>
      </c>
      <c r="G78" t="e">
        <f t="shared" si="112"/>
        <v>#NUM!</v>
      </c>
      <c r="H78" s="5" t="e">
        <f t="shared" si="113"/>
        <v>#NUM!</v>
      </c>
      <c r="I78" s="5" t="e">
        <f t="shared" si="114"/>
        <v>#NUM!</v>
      </c>
      <c r="J78" s="5">
        <v>71</v>
      </c>
      <c r="N78" s="10">
        <f t="shared" ref="N78" si="120">Q75</f>
        <v>1.8410970584500788</v>
      </c>
      <c r="O78">
        <f t="shared" si="102"/>
        <v>0</v>
      </c>
      <c r="P78">
        <f t="shared" ref="P78:P141" si="121">(O77-O79)/(N77-N79)</f>
        <v>4.225348534256625</v>
      </c>
      <c r="Q78" s="10">
        <f t="shared" ref="Q78" si="122">N78-O78/P78</f>
        <v>1.8410970584500788</v>
      </c>
      <c r="R78">
        <v>24</v>
      </c>
      <c r="S78">
        <f t="shared" ref="S78:S141" si="123">N78</f>
        <v>1.8410970584500788</v>
      </c>
    </row>
    <row r="79" spans="1:19" x14ac:dyDescent="0.2">
      <c r="A79" t="e">
        <f t="shared" si="106"/>
        <v>#NUM!</v>
      </c>
      <c r="B79" t="e">
        <f t="shared" si="107"/>
        <v>#NUM!</v>
      </c>
      <c r="C79" t="e">
        <f t="shared" si="108"/>
        <v>#NUM!</v>
      </c>
      <c r="D79" t="e">
        <f t="shared" si="109"/>
        <v>#NUM!</v>
      </c>
      <c r="E79" t="e">
        <f t="shared" si="110"/>
        <v>#NUM!</v>
      </c>
      <c r="F79" t="e">
        <f t="shared" si="111"/>
        <v>#NUM!</v>
      </c>
      <c r="G79" t="e">
        <f t="shared" si="112"/>
        <v>#NUM!</v>
      </c>
      <c r="H79" s="5" t="e">
        <f t="shared" si="113"/>
        <v>#NUM!</v>
      </c>
      <c r="I79" s="5" t="e">
        <f t="shared" si="114"/>
        <v>#NUM!</v>
      </c>
      <c r="J79" s="5">
        <v>72</v>
      </c>
      <c r="N79">
        <f t="shared" ref="N79:N142" si="124">N78+1/99999</f>
        <v>1.8411070585500797</v>
      </c>
      <c r="O79">
        <f t="shared" si="102"/>
        <v>4.2253993131957657E-5</v>
      </c>
    </row>
    <row r="80" spans="1:19" x14ac:dyDescent="0.2">
      <c r="A80" t="e">
        <f t="shared" si="106"/>
        <v>#NUM!</v>
      </c>
      <c r="B80" t="e">
        <f t="shared" si="107"/>
        <v>#NUM!</v>
      </c>
      <c r="C80" t="e">
        <f t="shared" si="108"/>
        <v>#NUM!</v>
      </c>
      <c r="D80" t="e">
        <f t="shared" si="109"/>
        <v>#NUM!</v>
      </c>
      <c r="E80" t="e">
        <f t="shared" si="110"/>
        <v>#NUM!</v>
      </c>
      <c r="F80" t="e">
        <f t="shared" si="111"/>
        <v>#NUM!</v>
      </c>
      <c r="G80" t="e">
        <f t="shared" si="112"/>
        <v>#NUM!</v>
      </c>
      <c r="H80" s="5" t="e">
        <f t="shared" si="113"/>
        <v>#NUM!</v>
      </c>
      <c r="I80" s="5" t="e">
        <f t="shared" si="114"/>
        <v>#NUM!</v>
      </c>
      <c r="J80" s="5">
        <v>73</v>
      </c>
      <c r="N80">
        <f t="shared" si="119"/>
        <v>1.8410870583500778</v>
      </c>
      <c r="O80">
        <f t="shared" si="102"/>
        <v>-4.2253822631010962E-5</v>
      </c>
    </row>
    <row r="81" spans="1:19" x14ac:dyDescent="0.2">
      <c r="A81" t="e">
        <f t="shared" si="106"/>
        <v>#NUM!</v>
      </c>
      <c r="B81" t="e">
        <f t="shared" si="107"/>
        <v>#NUM!</v>
      </c>
      <c r="C81" t="e">
        <f t="shared" si="108"/>
        <v>#NUM!</v>
      </c>
      <c r="D81" t="e">
        <f t="shared" si="109"/>
        <v>#NUM!</v>
      </c>
      <c r="E81" t="e">
        <f t="shared" si="110"/>
        <v>#NUM!</v>
      </c>
      <c r="F81" t="e">
        <f t="shared" si="111"/>
        <v>#NUM!</v>
      </c>
      <c r="G81" t="e">
        <f t="shared" si="112"/>
        <v>#NUM!</v>
      </c>
      <c r="H81" s="5" t="e">
        <f t="shared" si="113"/>
        <v>#NUM!</v>
      </c>
      <c r="I81" s="5" t="e">
        <f t="shared" si="114"/>
        <v>#NUM!</v>
      </c>
      <c r="J81" s="5">
        <v>74</v>
      </c>
      <c r="N81" s="10">
        <f t="shared" ref="N81" si="125">Q78</f>
        <v>1.8410970584500788</v>
      </c>
      <c r="O81">
        <f t="shared" si="102"/>
        <v>0</v>
      </c>
      <c r="P81">
        <f t="shared" ref="P81:P144" si="126">(O80-O82)/(N80-N82)</f>
        <v>4.225348534256625</v>
      </c>
      <c r="Q81" s="10">
        <f t="shared" ref="Q81" si="127">N81-O81/P81</f>
        <v>1.8410970584500788</v>
      </c>
      <c r="R81">
        <v>25</v>
      </c>
      <c r="S81">
        <f t="shared" ref="S81:S144" si="128">N81</f>
        <v>1.8410970584500788</v>
      </c>
    </row>
    <row r="82" spans="1:19" x14ac:dyDescent="0.2">
      <c r="A82" t="e">
        <f t="shared" si="106"/>
        <v>#NUM!</v>
      </c>
      <c r="B82" t="e">
        <f t="shared" si="107"/>
        <v>#NUM!</v>
      </c>
      <c r="C82" t="e">
        <f t="shared" si="108"/>
        <v>#NUM!</v>
      </c>
      <c r="D82" t="e">
        <f t="shared" si="109"/>
        <v>#NUM!</v>
      </c>
      <c r="E82" t="e">
        <f t="shared" si="110"/>
        <v>#NUM!</v>
      </c>
      <c r="F82" t="e">
        <f t="shared" si="111"/>
        <v>#NUM!</v>
      </c>
      <c r="G82" t="e">
        <f t="shared" si="112"/>
        <v>#NUM!</v>
      </c>
      <c r="H82" s="5" t="e">
        <f t="shared" si="113"/>
        <v>#NUM!</v>
      </c>
      <c r="I82" s="5" t="e">
        <f t="shared" si="114"/>
        <v>#NUM!</v>
      </c>
      <c r="J82" s="5">
        <v>75</v>
      </c>
      <c r="N82">
        <f t="shared" si="124"/>
        <v>1.8411070585500797</v>
      </c>
      <c r="O82">
        <f t="shared" si="102"/>
        <v>4.2253993131957657E-5</v>
      </c>
    </row>
    <row r="83" spans="1:19" x14ac:dyDescent="0.2">
      <c r="A83" t="e">
        <f t="shared" si="106"/>
        <v>#NUM!</v>
      </c>
      <c r="B83" t="e">
        <f t="shared" si="107"/>
        <v>#NUM!</v>
      </c>
      <c r="C83" t="e">
        <f t="shared" si="108"/>
        <v>#NUM!</v>
      </c>
      <c r="D83" t="e">
        <f t="shared" si="109"/>
        <v>#NUM!</v>
      </c>
      <c r="E83" t="e">
        <f t="shared" si="110"/>
        <v>#NUM!</v>
      </c>
      <c r="F83" t="e">
        <f t="shared" si="111"/>
        <v>#NUM!</v>
      </c>
      <c r="G83" t="e">
        <f t="shared" si="112"/>
        <v>#NUM!</v>
      </c>
      <c r="H83" s="5" t="e">
        <f t="shared" si="113"/>
        <v>#NUM!</v>
      </c>
      <c r="I83" s="5" t="e">
        <f t="shared" si="114"/>
        <v>#NUM!</v>
      </c>
      <c r="J83" s="5">
        <v>76</v>
      </c>
      <c r="N83">
        <f t="shared" si="119"/>
        <v>1.8410870583500778</v>
      </c>
      <c r="O83">
        <f t="shared" si="102"/>
        <v>-4.2253822631010962E-5</v>
      </c>
    </row>
    <row r="84" spans="1:19" x14ac:dyDescent="0.2">
      <c r="A84" t="e">
        <f t="shared" si="106"/>
        <v>#NUM!</v>
      </c>
      <c r="B84" t="e">
        <f t="shared" si="107"/>
        <v>#NUM!</v>
      </c>
      <c r="C84" t="e">
        <f t="shared" si="108"/>
        <v>#NUM!</v>
      </c>
      <c r="D84" t="e">
        <f t="shared" si="109"/>
        <v>#NUM!</v>
      </c>
      <c r="E84" t="e">
        <f t="shared" si="110"/>
        <v>#NUM!</v>
      </c>
      <c r="F84" t="e">
        <f t="shared" si="111"/>
        <v>#NUM!</v>
      </c>
      <c r="G84" t="e">
        <f t="shared" si="112"/>
        <v>#NUM!</v>
      </c>
      <c r="H84" s="5" t="e">
        <f t="shared" si="113"/>
        <v>#NUM!</v>
      </c>
      <c r="I84" s="5" t="e">
        <f t="shared" si="114"/>
        <v>#NUM!</v>
      </c>
      <c r="J84" s="5">
        <v>77</v>
      </c>
      <c r="N84" s="10">
        <f t="shared" ref="N84" si="129">Q81</f>
        <v>1.8410970584500788</v>
      </c>
      <c r="O84">
        <f t="shared" si="102"/>
        <v>0</v>
      </c>
      <c r="P84">
        <f t="shared" ref="P84:P147" si="130">(O83-O85)/(N83-N85)</f>
        <v>4.225348534256625</v>
      </c>
      <c r="Q84" s="10">
        <f t="shared" ref="Q84" si="131">N84-O84/P84</f>
        <v>1.8410970584500788</v>
      </c>
      <c r="R84">
        <v>26</v>
      </c>
      <c r="S84">
        <f t="shared" ref="S84:S147" si="132">N84</f>
        <v>1.8410970584500788</v>
      </c>
    </row>
    <row r="85" spans="1:19" x14ac:dyDescent="0.2">
      <c r="A85" t="e">
        <f t="shared" si="106"/>
        <v>#NUM!</v>
      </c>
      <c r="B85" t="e">
        <f t="shared" si="107"/>
        <v>#NUM!</v>
      </c>
      <c r="C85" t="e">
        <f t="shared" si="108"/>
        <v>#NUM!</v>
      </c>
      <c r="D85" t="e">
        <f t="shared" si="109"/>
        <v>#NUM!</v>
      </c>
      <c r="E85" t="e">
        <f t="shared" si="110"/>
        <v>#NUM!</v>
      </c>
      <c r="F85" t="e">
        <f t="shared" si="111"/>
        <v>#NUM!</v>
      </c>
      <c r="G85" t="e">
        <f t="shared" si="112"/>
        <v>#NUM!</v>
      </c>
      <c r="H85" s="5" t="e">
        <f t="shared" si="113"/>
        <v>#NUM!</v>
      </c>
      <c r="I85" s="5" t="e">
        <f t="shared" si="114"/>
        <v>#NUM!</v>
      </c>
      <c r="J85" s="5">
        <v>78</v>
      </c>
      <c r="N85">
        <f t="shared" si="124"/>
        <v>1.8411070585500797</v>
      </c>
      <c r="O85">
        <f t="shared" si="102"/>
        <v>4.2253993131957657E-5</v>
      </c>
    </row>
    <row r="86" spans="1:19" x14ac:dyDescent="0.2">
      <c r="A86" t="e">
        <f t="shared" si="106"/>
        <v>#NUM!</v>
      </c>
      <c r="B86" t="e">
        <f t="shared" si="107"/>
        <v>#NUM!</v>
      </c>
      <c r="C86" t="e">
        <f t="shared" si="108"/>
        <v>#NUM!</v>
      </c>
      <c r="D86" t="e">
        <f t="shared" si="109"/>
        <v>#NUM!</v>
      </c>
      <c r="E86" t="e">
        <f t="shared" si="110"/>
        <v>#NUM!</v>
      </c>
      <c r="F86" t="e">
        <f t="shared" si="111"/>
        <v>#NUM!</v>
      </c>
      <c r="G86" t="e">
        <f t="shared" si="112"/>
        <v>#NUM!</v>
      </c>
      <c r="H86" s="5" t="e">
        <f t="shared" si="113"/>
        <v>#NUM!</v>
      </c>
      <c r="I86" s="5" t="e">
        <f t="shared" si="114"/>
        <v>#NUM!</v>
      </c>
      <c r="J86" s="5">
        <v>79</v>
      </c>
      <c r="N86">
        <f t="shared" si="119"/>
        <v>1.8410870583500778</v>
      </c>
      <c r="O86">
        <f t="shared" si="102"/>
        <v>-4.2253822631010962E-5</v>
      </c>
    </row>
    <row r="87" spans="1:19" x14ac:dyDescent="0.2">
      <c r="A87" t="e">
        <f t="shared" si="106"/>
        <v>#NUM!</v>
      </c>
      <c r="B87" t="e">
        <f t="shared" si="107"/>
        <v>#NUM!</v>
      </c>
      <c r="C87" t="e">
        <f t="shared" si="108"/>
        <v>#NUM!</v>
      </c>
      <c r="D87" t="e">
        <f t="shared" si="109"/>
        <v>#NUM!</v>
      </c>
      <c r="E87" t="e">
        <f t="shared" si="110"/>
        <v>#NUM!</v>
      </c>
      <c r="F87" t="e">
        <f t="shared" si="111"/>
        <v>#NUM!</v>
      </c>
      <c r="G87" t="e">
        <f t="shared" si="112"/>
        <v>#NUM!</v>
      </c>
      <c r="H87" s="5" t="e">
        <f t="shared" si="113"/>
        <v>#NUM!</v>
      </c>
      <c r="I87" s="5" t="e">
        <f t="shared" si="114"/>
        <v>#NUM!</v>
      </c>
      <c r="J87" s="5">
        <v>80</v>
      </c>
      <c r="N87" s="10">
        <f t="shared" ref="N87" si="133">Q84</f>
        <v>1.8410970584500788</v>
      </c>
      <c r="O87">
        <f t="shared" si="102"/>
        <v>0</v>
      </c>
      <c r="P87">
        <f t="shared" ref="P87:P150" si="134">(O86-O88)/(N86-N88)</f>
        <v>4.225348534256625</v>
      </c>
      <c r="Q87" s="10">
        <f t="shared" ref="Q87" si="135">N87-O87/P87</f>
        <v>1.8410970584500788</v>
      </c>
      <c r="R87">
        <v>27</v>
      </c>
      <c r="S87">
        <f t="shared" ref="S87:S150" si="136">N87</f>
        <v>1.8410970584500788</v>
      </c>
    </row>
    <row r="88" spans="1:19" x14ac:dyDescent="0.2">
      <c r="A88" t="e">
        <f t="shared" si="106"/>
        <v>#NUM!</v>
      </c>
      <c r="B88" t="e">
        <f t="shared" si="107"/>
        <v>#NUM!</v>
      </c>
      <c r="C88" t="e">
        <f t="shared" si="108"/>
        <v>#NUM!</v>
      </c>
      <c r="D88" t="e">
        <f t="shared" si="109"/>
        <v>#NUM!</v>
      </c>
      <c r="E88" t="e">
        <f t="shared" si="110"/>
        <v>#NUM!</v>
      </c>
      <c r="F88" t="e">
        <f t="shared" si="111"/>
        <v>#NUM!</v>
      </c>
      <c r="G88" t="e">
        <f t="shared" si="112"/>
        <v>#NUM!</v>
      </c>
      <c r="H88" s="5" t="e">
        <f t="shared" si="113"/>
        <v>#NUM!</v>
      </c>
      <c r="I88" s="5" t="e">
        <f t="shared" si="114"/>
        <v>#NUM!</v>
      </c>
      <c r="J88" s="5">
        <v>81</v>
      </c>
      <c r="N88">
        <f t="shared" si="124"/>
        <v>1.8411070585500797</v>
      </c>
      <c r="O88">
        <f t="shared" si="102"/>
        <v>4.2253993131957657E-5</v>
      </c>
    </row>
    <row r="89" spans="1:19" x14ac:dyDescent="0.2">
      <c r="A89" t="e">
        <f t="shared" si="106"/>
        <v>#NUM!</v>
      </c>
      <c r="B89" t="e">
        <f t="shared" si="107"/>
        <v>#NUM!</v>
      </c>
      <c r="C89" t="e">
        <f t="shared" si="108"/>
        <v>#NUM!</v>
      </c>
      <c r="D89" t="e">
        <f t="shared" si="109"/>
        <v>#NUM!</v>
      </c>
      <c r="E89" t="e">
        <f t="shared" si="110"/>
        <v>#NUM!</v>
      </c>
      <c r="F89" t="e">
        <f t="shared" si="111"/>
        <v>#NUM!</v>
      </c>
      <c r="G89" t="e">
        <f t="shared" si="112"/>
        <v>#NUM!</v>
      </c>
      <c r="H89" s="5" t="e">
        <f t="shared" si="113"/>
        <v>#NUM!</v>
      </c>
      <c r="I89" s="5" t="e">
        <f t="shared" si="114"/>
        <v>#NUM!</v>
      </c>
      <c r="J89" s="5">
        <v>82</v>
      </c>
      <c r="N89">
        <f t="shared" si="119"/>
        <v>1.8410870583500778</v>
      </c>
      <c r="O89">
        <f t="shared" si="102"/>
        <v>-4.2253822631010962E-5</v>
      </c>
    </row>
    <row r="90" spans="1:19" x14ac:dyDescent="0.2">
      <c r="A90" t="e">
        <f t="shared" si="106"/>
        <v>#NUM!</v>
      </c>
      <c r="B90" t="e">
        <f t="shared" si="107"/>
        <v>#NUM!</v>
      </c>
      <c r="C90" t="e">
        <f t="shared" si="108"/>
        <v>#NUM!</v>
      </c>
      <c r="D90" t="e">
        <f t="shared" si="109"/>
        <v>#NUM!</v>
      </c>
      <c r="E90" t="e">
        <f t="shared" si="110"/>
        <v>#NUM!</v>
      </c>
      <c r="F90" t="e">
        <f t="shared" si="111"/>
        <v>#NUM!</v>
      </c>
      <c r="G90" t="e">
        <f t="shared" si="112"/>
        <v>#NUM!</v>
      </c>
      <c r="H90" s="5" t="e">
        <f t="shared" si="113"/>
        <v>#NUM!</v>
      </c>
      <c r="I90" s="5" t="e">
        <f t="shared" si="114"/>
        <v>#NUM!</v>
      </c>
      <c r="J90" s="5">
        <v>83</v>
      </c>
      <c r="N90" s="10">
        <f t="shared" ref="N90" si="137">Q87</f>
        <v>1.8410970584500788</v>
      </c>
      <c r="O90">
        <f t="shared" si="102"/>
        <v>0</v>
      </c>
      <c r="P90">
        <f t="shared" ref="P90:P153" si="138">(O89-O91)/(N89-N91)</f>
        <v>4.225348534256625</v>
      </c>
      <c r="Q90" s="10">
        <f t="shared" ref="Q90" si="139">N90-O90/P90</f>
        <v>1.8410970584500788</v>
      </c>
      <c r="R90">
        <v>28</v>
      </c>
      <c r="S90">
        <f t="shared" ref="S90:S153" si="140">N90</f>
        <v>1.8410970584500788</v>
      </c>
    </row>
    <row r="91" spans="1:19" x14ac:dyDescent="0.2">
      <c r="A91" t="e">
        <f t="shared" si="106"/>
        <v>#NUM!</v>
      </c>
      <c r="B91" t="e">
        <f t="shared" si="107"/>
        <v>#NUM!</v>
      </c>
      <c r="C91" t="e">
        <f t="shared" si="108"/>
        <v>#NUM!</v>
      </c>
      <c r="D91" t="e">
        <f t="shared" si="109"/>
        <v>#NUM!</v>
      </c>
      <c r="E91" t="e">
        <f t="shared" si="110"/>
        <v>#NUM!</v>
      </c>
      <c r="F91" t="e">
        <f t="shared" si="111"/>
        <v>#NUM!</v>
      </c>
      <c r="G91" t="e">
        <f t="shared" si="112"/>
        <v>#NUM!</v>
      </c>
      <c r="H91" s="5" t="e">
        <f t="shared" si="113"/>
        <v>#NUM!</v>
      </c>
      <c r="I91" s="5" t="e">
        <f t="shared" si="114"/>
        <v>#NUM!</v>
      </c>
      <c r="J91" s="5">
        <v>84</v>
      </c>
      <c r="N91">
        <f t="shared" si="124"/>
        <v>1.8411070585500797</v>
      </c>
      <c r="O91">
        <f t="shared" si="102"/>
        <v>4.2253993131957657E-5</v>
      </c>
    </row>
    <row r="92" spans="1:19" x14ac:dyDescent="0.2">
      <c r="A92" t="e">
        <f t="shared" si="106"/>
        <v>#NUM!</v>
      </c>
      <c r="B92" t="e">
        <f t="shared" si="107"/>
        <v>#NUM!</v>
      </c>
      <c r="C92" t="e">
        <f t="shared" si="108"/>
        <v>#NUM!</v>
      </c>
      <c r="D92" t="e">
        <f t="shared" si="109"/>
        <v>#NUM!</v>
      </c>
      <c r="E92" t="e">
        <f t="shared" si="110"/>
        <v>#NUM!</v>
      </c>
      <c r="F92" t="e">
        <f t="shared" si="111"/>
        <v>#NUM!</v>
      </c>
      <c r="G92" t="e">
        <f t="shared" si="112"/>
        <v>#NUM!</v>
      </c>
      <c r="H92" s="5" t="e">
        <f t="shared" si="113"/>
        <v>#NUM!</v>
      </c>
      <c r="I92" s="5" t="e">
        <f t="shared" si="114"/>
        <v>#NUM!</v>
      </c>
      <c r="J92" s="5">
        <v>85</v>
      </c>
      <c r="N92">
        <f t="shared" si="119"/>
        <v>1.8410870583500778</v>
      </c>
      <c r="O92">
        <f t="shared" si="102"/>
        <v>-4.2253822631010962E-5</v>
      </c>
    </row>
    <row r="93" spans="1:19" x14ac:dyDescent="0.2">
      <c r="A93" t="e">
        <f t="shared" si="106"/>
        <v>#NUM!</v>
      </c>
      <c r="B93" t="e">
        <f t="shared" si="107"/>
        <v>#NUM!</v>
      </c>
      <c r="C93" t="e">
        <f t="shared" si="108"/>
        <v>#NUM!</v>
      </c>
      <c r="D93" t="e">
        <f t="shared" si="109"/>
        <v>#NUM!</v>
      </c>
      <c r="E93" t="e">
        <f t="shared" si="110"/>
        <v>#NUM!</v>
      </c>
      <c r="F93" t="e">
        <f t="shared" si="111"/>
        <v>#NUM!</v>
      </c>
      <c r="G93" t="e">
        <f t="shared" si="112"/>
        <v>#NUM!</v>
      </c>
      <c r="H93" s="5" t="e">
        <f t="shared" si="113"/>
        <v>#NUM!</v>
      </c>
      <c r="I93" s="5" t="e">
        <f t="shared" si="114"/>
        <v>#NUM!</v>
      </c>
      <c r="J93" s="5">
        <v>86</v>
      </c>
      <c r="N93" s="10">
        <f t="shared" ref="N93" si="141">Q90</f>
        <v>1.8410970584500788</v>
      </c>
      <c r="O93">
        <f t="shared" si="102"/>
        <v>0</v>
      </c>
      <c r="P93">
        <f t="shared" ref="P93:P156" si="142">(O92-O94)/(N92-N94)</f>
        <v>4.225348534256625</v>
      </c>
      <c r="Q93" s="10">
        <f t="shared" ref="Q93" si="143">N93-O93/P93</f>
        <v>1.8410970584500788</v>
      </c>
      <c r="R93">
        <v>29</v>
      </c>
      <c r="S93">
        <f t="shared" ref="S93:S156" si="144">N93</f>
        <v>1.8410970584500788</v>
      </c>
    </row>
    <row r="94" spans="1:19" x14ac:dyDescent="0.2">
      <c r="A94" t="e">
        <f t="shared" si="106"/>
        <v>#NUM!</v>
      </c>
      <c r="B94" t="e">
        <f t="shared" si="107"/>
        <v>#NUM!</v>
      </c>
      <c r="C94" t="e">
        <f t="shared" si="108"/>
        <v>#NUM!</v>
      </c>
      <c r="D94" t="e">
        <f t="shared" si="109"/>
        <v>#NUM!</v>
      </c>
      <c r="E94" t="e">
        <f t="shared" si="110"/>
        <v>#NUM!</v>
      </c>
      <c r="F94" t="e">
        <f t="shared" si="111"/>
        <v>#NUM!</v>
      </c>
      <c r="G94" t="e">
        <f t="shared" si="112"/>
        <v>#NUM!</v>
      </c>
      <c r="H94" s="5" t="e">
        <f t="shared" si="113"/>
        <v>#NUM!</v>
      </c>
      <c r="I94" s="5" t="e">
        <f t="shared" si="114"/>
        <v>#NUM!</v>
      </c>
      <c r="J94" s="5">
        <v>87</v>
      </c>
      <c r="N94">
        <f t="shared" si="124"/>
        <v>1.8411070585500797</v>
      </c>
      <c r="O94">
        <f t="shared" si="102"/>
        <v>4.2253993131957657E-5</v>
      </c>
    </row>
    <row r="95" spans="1:19" x14ac:dyDescent="0.2">
      <c r="A95" t="e">
        <f t="shared" si="106"/>
        <v>#NUM!</v>
      </c>
      <c r="B95" t="e">
        <f t="shared" si="107"/>
        <v>#NUM!</v>
      </c>
      <c r="C95" t="e">
        <f t="shared" si="108"/>
        <v>#NUM!</v>
      </c>
      <c r="D95" t="e">
        <f t="shared" si="109"/>
        <v>#NUM!</v>
      </c>
      <c r="E95" t="e">
        <f t="shared" si="110"/>
        <v>#NUM!</v>
      </c>
      <c r="F95" t="e">
        <f t="shared" si="111"/>
        <v>#NUM!</v>
      </c>
      <c r="G95" t="e">
        <f t="shared" si="112"/>
        <v>#NUM!</v>
      </c>
      <c r="H95" s="5" t="e">
        <f t="shared" si="113"/>
        <v>#NUM!</v>
      </c>
      <c r="I95" s="5" t="e">
        <f t="shared" si="114"/>
        <v>#NUM!</v>
      </c>
      <c r="J95" s="5">
        <v>88</v>
      </c>
      <c r="N95">
        <f t="shared" si="119"/>
        <v>1.8410870583500778</v>
      </c>
      <c r="O95">
        <f t="shared" si="102"/>
        <v>-4.2253822631010962E-5</v>
      </c>
    </row>
    <row r="96" spans="1:19" x14ac:dyDescent="0.2">
      <c r="A96" t="e">
        <f t="shared" si="106"/>
        <v>#NUM!</v>
      </c>
      <c r="B96" t="e">
        <f t="shared" si="107"/>
        <v>#NUM!</v>
      </c>
      <c r="C96" t="e">
        <f t="shared" si="108"/>
        <v>#NUM!</v>
      </c>
      <c r="D96" t="e">
        <f t="shared" si="109"/>
        <v>#NUM!</v>
      </c>
      <c r="E96" t="e">
        <f t="shared" si="110"/>
        <v>#NUM!</v>
      </c>
      <c r="F96" t="e">
        <f t="shared" si="111"/>
        <v>#NUM!</v>
      </c>
      <c r="G96" t="e">
        <f t="shared" si="112"/>
        <v>#NUM!</v>
      </c>
      <c r="H96" s="5" t="e">
        <f t="shared" si="113"/>
        <v>#NUM!</v>
      </c>
      <c r="I96" s="5" t="e">
        <f t="shared" si="114"/>
        <v>#NUM!</v>
      </c>
      <c r="J96" s="5">
        <v>89</v>
      </c>
      <c r="N96" s="10">
        <f t="shared" ref="N96" si="145">Q93</f>
        <v>1.8410970584500788</v>
      </c>
      <c r="O96">
        <f t="shared" si="102"/>
        <v>0</v>
      </c>
      <c r="P96">
        <f t="shared" ref="P96:P159" si="146">(O95-O97)/(N95-N97)</f>
        <v>4.225348534256625</v>
      </c>
      <c r="Q96" s="10">
        <f t="shared" ref="Q96" si="147">N96-O96/P96</f>
        <v>1.8410970584500788</v>
      </c>
      <c r="R96">
        <v>30</v>
      </c>
      <c r="S96">
        <f t="shared" ref="S96:S159" si="148">N96</f>
        <v>1.8410970584500788</v>
      </c>
    </row>
    <row r="97" spans="1:19" x14ac:dyDescent="0.2">
      <c r="A97" t="e">
        <f t="shared" si="106"/>
        <v>#NUM!</v>
      </c>
      <c r="B97" t="e">
        <f t="shared" si="107"/>
        <v>#NUM!</v>
      </c>
      <c r="C97" t="e">
        <f t="shared" si="108"/>
        <v>#NUM!</v>
      </c>
      <c r="D97" t="e">
        <f t="shared" si="109"/>
        <v>#NUM!</v>
      </c>
      <c r="E97" t="e">
        <f t="shared" si="110"/>
        <v>#NUM!</v>
      </c>
      <c r="F97" t="e">
        <f t="shared" si="111"/>
        <v>#NUM!</v>
      </c>
      <c r="G97" t="e">
        <f t="shared" si="112"/>
        <v>#NUM!</v>
      </c>
      <c r="H97" s="5" t="e">
        <f t="shared" si="113"/>
        <v>#NUM!</v>
      </c>
      <c r="I97" s="5" t="e">
        <f t="shared" si="114"/>
        <v>#NUM!</v>
      </c>
      <c r="J97" s="5">
        <v>90</v>
      </c>
      <c r="N97">
        <f t="shared" si="124"/>
        <v>1.8411070585500797</v>
      </c>
      <c r="O97">
        <f t="shared" si="102"/>
        <v>4.2253993131957657E-5</v>
      </c>
    </row>
    <row r="98" spans="1:19" x14ac:dyDescent="0.2">
      <c r="A98" t="e">
        <f t="shared" si="106"/>
        <v>#NUM!</v>
      </c>
      <c r="B98" t="e">
        <f t="shared" si="107"/>
        <v>#NUM!</v>
      </c>
      <c r="C98" t="e">
        <f t="shared" si="108"/>
        <v>#NUM!</v>
      </c>
      <c r="D98" t="e">
        <f t="shared" si="109"/>
        <v>#NUM!</v>
      </c>
      <c r="E98" t="e">
        <f t="shared" si="110"/>
        <v>#NUM!</v>
      </c>
      <c r="F98" t="e">
        <f t="shared" si="111"/>
        <v>#NUM!</v>
      </c>
      <c r="G98" t="e">
        <f t="shared" si="112"/>
        <v>#NUM!</v>
      </c>
      <c r="H98" s="5" t="e">
        <f t="shared" si="113"/>
        <v>#NUM!</v>
      </c>
      <c r="I98" s="5" t="e">
        <f t="shared" si="114"/>
        <v>#NUM!</v>
      </c>
      <c r="J98" s="5">
        <v>91</v>
      </c>
      <c r="N98">
        <f t="shared" si="119"/>
        <v>1.8410870583500778</v>
      </c>
      <c r="O98">
        <f t="shared" si="102"/>
        <v>-4.2253822631010962E-5</v>
      </c>
    </row>
    <row r="99" spans="1:19" x14ac:dyDescent="0.2">
      <c r="A99" t="e">
        <f t="shared" si="106"/>
        <v>#NUM!</v>
      </c>
      <c r="B99" t="e">
        <f t="shared" si="107"/>
        <v>#NUM!</v>
      </c>
      <c r="C99" t="e">
        <f t="shared" si="108"/>
        <v>#NUM!</v>
      </c>
      <c r="D99" t="e">
        <f t="shared" si="109"/>
        <v>#NUM!</v>
      </c>
      <c r="E99" t="e">
        <f t="shared" si="110"/>
        <v>#NUM!</v>
      </c>
      <c r="F99" t="e">
        <f t="shared" si="111"/>
        <v>#NUM!</v>
      </c>
      <c r="G99" t="e">
        <f t="shared" si="112"/>
        <v>#NUM!</v>
      </c>
      <c r="H99" s="5" t="e">
        <f t="shared" si="113"/>
        <v>#NUM!</v>
      </c>
      <c r="I99" s="5" t="e">
        <f t="shared" si="114"/>
        <v>#NUM!</v>
      </c>
      <c r="J99" s="5">
        <v>92</v>
      </c>
      <c r="N99" s="10">
        <f t="shared" ref="N99" si="149">Q96</f>
        <v>1.8410970584500788</v>
      </c>
      <c r="O99">
        <f t="shared" si="102"/>
        <v>0</v>
      </c>
      <c r="P99">
        <f t="shared" ref="P99:P162" si="150">(O98-O100)/(N98-N100)</f>
        <v>4.225348534256625</v>
      </c>
      <c r="Q99" s="10">
        <f t="shared" ref="Q99" si="151">N99-O99/P99</f>
        <v>1.8410970584500788</v>
      </c>
      <c r="R99">
        <v>31</v>
      </c>
      <c r="S99">
        <f t="shared" ref="S99:S162" si="152">N99</f>
        <v>1.8410970584500788</v>
      </c>
    </row>
    <row r="100" spans="1:19" x14ac:dyDescent="0.2">
      <c r="A100" t="e">
        <f t="shared" si="106"/>
        <v>#NUM!</v>
      </c>
      <c r="B100" t="e">
        <f t="shared" si="107"/>
        <v>#NUM!</v>
      </c>
      <c r="C100" t="e">
        <f t="shared" si="108"/>
        <v>#NUM!</v>
      </c>
      <c r="D100" t="e">
        <f t="shared" si="109"/>
        <v>#NUM!</v>
      </c>
      <c r="E100" t="e">
        <f t="shared" si="110"/>
        <v>#NUM!</v>
      </c>
      <c r="F100" t="e">
        <f t="shared" si="111"/>
        <v>#NUM!</v>
      </c>
      <c r="G100" t="e">
        <f t="shared" si="112"/>
        <v>#NUM!</v>
      </c>
      <c r="H100" s="5" t="e">
        <f t="shared" si="113"/>
        <v>#NUM!</v>
      </c>
      <c r="I100" s="5" t="e">
        <f t="shared" si="114"/>
        <v>#NUM!</v>
      </c>
      <c r="J100" s="5">
        <v>93</v>
      </c>
      <c r="N100">
        <f t="shared" si="124"/>
        <v>1.8411070585500797</v>
      </c>
      <c r="O100">
        <f t="shared" si="102"/>
        <v>4.2253993131957657E-5</v>
      </c>
    </row>
    <row r="101" spans="1:19" x14ac:dyDescent="0.2">
      <c r="A101" t="e">
        <f t="shared" si="106"/>
        <v>#NUM!</v>
      </c>
      <c r="B101" t="e">
        <f t="shared" si="107"/>
        <v>#NUM!</v>
      </c>
      <c r="C101" t="e">
        <f t="shared" si="108"/>
        <v>#NUM!</v>
      </c>
      <c r="D101" t="e">
        <f t="shared" si="109"/>
        <v>#NUM!</v>
      </c>
      <c r="E101" t="e">
        <f t="shared" si="110"/>
        <v>#NUM!</v>
      </c>
      <c r="F101" t="e">
        <f t="shared" si="111"/>
        <v>#NUM!</v>
      </c>
      <c r="G101" t="e">
        <f t="shared" si="112"/>
        <v>#NUM!</v>
      </c>
      <c r="H101" s="5" t="e">
        <f t="shared" si="113"/>
        <v>#NUM!</v>
      </c>
      <c r="I101" s="5" t="e">
        <f t="shared" si="114"/>
        <v>#NUM!</v>
      </c>
      <c r="J101" s="5">
        <v>94</v>
      </c>
      <c r="N101">
        <f t="shared" si="119"/>
        <v>1.8410870583500778</v>
      </c>
      <c r="O101">
        <f t="shared" si="102"/>
        <v>-4.2253822631010962E-5</v>
      </c>
    </row>
    <row r="102" spans="1:19" x14ac:dyDescent="0.2">
      <c r="A102" t="e">
        <f t="shared" si="106"/>
        <v>#NUM!</v>
      </c>
      <c r="B102" t="e">
        <f t="shared" si="107"/>
        <v>#NUM!</v>
      </c>
      <c r="C102" t="e">
        <f t="shared" si="108"/>
        <v>#NUM!</v>
      </c>
      <c r="D102" t="e">
        <f t="shared" si="109"/>
        <v>#NUM!</v>
      </c>
      <c r="E102" t="e">
        <f t="shared" si="110"/>
        <v>#NUM!</v>
      </c>
      <c r="F102" t="e">
        <f t="shared" si="111"/>
        <v>#NUM!</v>
      </c>
      <c r="G102" t="e">
        <f t="shared" si="112"/>
        <v>#NUM!</v>
      </c>
      <c r="H102" s="5" t="e">
        <f t="shared" si="113"/>
        <v>#NUM!</v>
      </c>
      <c r="I102" s="5" t="e">
        <f t="shared" si="114"/>
        <v>#NUM!</v>
      </c>
      <c r="J102" s="5">
        <v>95</v>
      </c>
      <c r="N102" s="10">
        <f t="shared" ref="N102" si="153">Q99</f>
        <v>1.8410970584500788</v>
      </c>
      <c r="O102">
        <f t="shared" si="102"/>
        <v>0</v>
      </c>
      <c r="P102">
        <f t="shared" ref="P102:P165" si="154">(O101-O103)/(N101-N103)</f>
        <v>4.225348534256625</v>
      </c>
      <c r="Q102" s="10">
        <f t="shared" ref="Q102" si="155">N102-O102/P102</f>
        <v>1.8410970584500788</v>
      </c>
      <c r="R102">
        <v>32</v>
      </c>
      <c r="S102">
        <f t="shared" ref="S102:S165" si="156">N102</f>
        <v>1.8410970584500788</v>
      </c>
    </row>
    <row r="103" spans="1:19" x14ac:dyDescent="0.2">
      <c r="A103" t="e">
        <f t="shared" si="106"/>
        <v>#NUM!</v>
      </c>
      <c r="B103" t="e">
        <f t="shared" si="107"/>
        <v>#NUM!</v>
      </c>
      <c r="C103" t="e">
        <f t="shared" si="108"/>
        <v>#NUM!</v>
      </c>
      <c r="D103" t="e">
        <f t="shared" si="109"/>
        <v>#NUM!</v>
      </c>
      <c r="E103" t="e">
        <f t="shared" si="110"/>
        <v>#NUM!</v>
      </c>
      <c r="F103" t="e">
        <f t="shared" si="111"/>
        <v>#NUM!</v>
      </c>
      <c r="G103" t="e">
        <f t="shared" si="112"/>
        <v>#NUM!</v>
      </c>
      <c r="H103" s="5" t="e">
        <f t="shared" si="113"/>
        <v>#NUM!</v>
      </c>
      <c r="I103" s="5" t="e">
        <f t="shared" si="114"/>
        <v>#NUM!</v>
      </c>
      <c r="J103" s="5">
        <v>96</v>
      </c>
      <c r="N103">
        <f t="shared" si="124"/>
        <v>1.8411070585500797</v>
      </c>
      <c r="O103">
        <f t="shared" si="102"/>
        <v>4.2253993131957657E-5</v>
      </c>
    </row>
    <row r="104" spans="1:19" x14ac:dyDescent="0.2">
      <c r="A104" t="e">
        <f t="shared" si="106"/>
        <v>#NUM!</v>
      </c>
      <c r="B104" t="e">
        <f t="shared" si="107"/>
        <v>#NUM!</v>
      </c>
      <c r="C104" t="e">
        <f t="shared" si="108"/>
        <v>#NUM!</v>
      </c>
      <c r="D104" t="e">
        <f t="shared" si="109"/>
        <v>#NUM!</v>
      </c>
      <c r="E104" t="e">
        <f t="shared" si="110"/>
        <v>#NUM!</v>
      </c>
      <c r="F104" t="e">
        <f t="shared" si="111"/>
        <v>#NUM!</v>
      </c>
      <c r="G104" t="e">
        <f t="shared" si="112"/>
        <v>#NUM!</v>
      </c>
      <c r="H104" s="5" t="e">
        <f t="shared" si="113"/>
        <v>#NUM!</v>
      </c>
      <c r="I104" s="5" t="e">
        <f t="shared" si="114"/>
        <v>#NUM!</v>
      </c>
      <c r="J104" s="5">
        <v>97</v>
      </c>
      <c r="N104">
        <f t="shared" si="119"/>
        <v>1.8410870583500778</v>
      </c>
      <c r="O104">
        <f t="shared" si="102"/>
        <v>-4.2253822631010962E-5</v>
      </c>
    </row>
    <row r="105" spans="1:19" x14ac:dyDescent="0.2">
      <c r="A105" t="e">
        <f t="shared" si="106"/>
        <v>#NUM!</v>
      </c>
      <c r="B105" t="e">
        <f t="shared" si="107"/>
        <v>#NUM!</v>
      </c>
      <c r="C105" t="e">
        <f t="shared" si="108"/>
        <v>#NUM!</v>
      </c>
      <c r="D105" t="e">
        <f t="shared" si="109"/>
        <v>#NUM!</v>
      </c>
      <c r="E105" t="e">
        <f t="shared" si="110"/>
        <v>#NUM!</v>
      </c>
      <c r="F105" t="e">
        <f t="shared" si="111"/>
        <v>#NUM!</v>
      </c>
      <c r="G105" t="e">
        <f t="shared" si="112"/>
        <v>#NUM!</v>
      </c>
      <c r="H105" s="5" t="e">
        <f t="shared" si="113"/>
        <v>#NUM!</v>
      </c>
      <c r="I105" s="5" t="e">
        <f t="shared" si="114"/>
        <v>#NUM!</v>
      </c>
      <c r="J105" s="5">
        <v>98</v>
      </c>
      <c r="N105" s="10">
        <f t="shared" ref="N105" si="157">Q102</f>
        <v>1.8410970584500788</v>
      </c>
      <c r="O105">
        <f t="shared" si="102"/>
        <v>0</v>
      </c>
      <c r="P105">
        <f t="shared" ref="P105:P168" si="158">(O104-O106)/(N104-N106)</f>
        <v>4.225348534256625</v>
      </c>
      <c r="Q105" s="10">
        <f t="shared" ref="Q105" si="159">N105-O105/P105</f>
        <v>1.8410970584500788</v>
      </c>
      <c r="R105">
        <v>33</v>
      </c>
      <c r="S105">
        <f t="shared" ref="S105:S168" si="160">N105</f>
        <v>1.8410970584500788</v>
      </c>
    </row>
    <row r="106" spans="1:19" x14ac:dyDescent="0.2">
      <c r="A106" t="e">
        <f t="shared" si="106"/>
        <v>#NUM!</v>
      </c>
      <c r="B106" t="e">
        <f t="shared" si="107"/>
        <v>#NUM!</v>
      </c>
      <c r="C106" t="e">
        <f t="shared" si="108"/>
        <v>#NUM!</v>
      </c>
      <c r="D106" t="e">
        <f t="shared" si="109"/>
        <v>#NUM!</v>
      </c>
      <c r="E106" t="e">
        <f t="shared" si="110"/>
        <v>#NUM!</v>
      </c>
      <c r="F106" t="e">
        <f t="shared" si="111"/>
        <v>#NUM!</v>
      </c>
      <c r="G106" t="e">
        <f t="shared" si="112"/>
        <v>#NUM!</v>
      </c>
      <c r="H106" s="5" t="e">
        <f t="shared" si="113"/>
        <v>#NUM!</v>
      </c>
      <c r="I106" s="5" t="e">
        <f t="shared" si="114"/>
        <v>#NUM!</v>
      </c>
      <c r="J106" s="5">
        <v>99</v>
      </c>
      <c r="N106">
        <f t="shared" si="124"/>
        <v>1.8411070585500797</v>
      </c>
      <c r="O106">
        <f t="shared" si="102"/>
        <v>4.2253993131957657E-5</v>
      </c>
    </row>
    <row r="107" spans="1:19" x14ac:dyDescent="0.2">
      <c r="A107" t="e">
        <f t="shared" si="106"/>
        <v>#NUM!</v>
      </c>
      <c r="B107" t="e">
        <f t="shared" si="107"/>
        <v>#NUM!</v>
      </c>
      <c r="C107" t="e">
        <f t="shared" si="108"/>
        <v>#NUM!</v>
      </c>
      <c r="D107" t="e">
        <f t="shared" si="109"/>
        <v>#NUM!</v>
      </c>
      <c r="E107" t="e">
        <f t="shared" si="110"/>
        <v>#NUM!</v>
      </c>
      <c r="F107" t="e">
        <f t="shared" si="111"/>
        <v>#NUM!</v>
      </c>
      <c r="G107" t="e">
        <f t="shared" si="112"/>
        <v>#NUM!</v>
      </c>
      <c r="H107" s="5" t="e">
        <f t="shared" si="113"/>
        <v>#NUM!</v>
      </c>
      <c r="I107" s="5" t="e">
        <f t="shared" si="114"/>
        <v>#NUM!</v>
      </c>
      <c r="J107" s="5">
        <v>100</v>
      </c>
      <c r="N107">
        <f t="shared" si="119"/>
        <v>1.8410870583500778</v>
      </c>
      <c r="O107">
        <f t="shared" si="102"/>
        <v>-4.2253822631010962E-5</v>
      </c>
    </row>
    <row r="108" spans="1:19" x14ac:dyDescent="0.2">
      <c r="A108" t="e">
        <f t="shared" si="106"/>
        <v>#NUM!</v>
      </c>
      <c r="B108" t="e">
        <f t="shared" si="107"/>
        <v>#NUM!</v>
      </c>
      <c r="C108" t="e">
        <f t="shared" si="108"/>
        <v>#NUM!</v>
      </c>
      <c r="D108" t="e">
        <f t="shared" si="109"/>
        <v>#NUM!</v>
      </c>
      <c r="E108" t="e">
        <f t="shared" si="110"/>
        <v>#NUM!</v>
      </c>
      <c r="F108" t="e">
        <f t="shared" si="111"/>
        <v>#NUM!</v>
      </c>
      <c r="G108" t="e">
        <f t="shared" si="112"/>
        <v>#NUM!</v>
      </c>
      <c r="H108" s="5" t="e">
        <f t="shared" si="113"/>
        <v>#NUM!</v>
      </c>
      <c r="I108" s="5" t="e">
        <f t="shared" si="114"/>
        <v>#NUM!</v>
      </c>
      <c r="J108" s="5">
        <v>101</v>
      </c>
      <c r="N108" s="10">
        <f t="shared" ref="N108" si="161">Q105</f>
        <v>1.8410970584500788</v>
      </c>
      <c r="O108">
        <f t="shared" si="102"/>
        <v>0</v>
      </c>
      <c r="P108">
        <f t="shared" ref="P108:P171" si="162">(O107-O109)/(N107-N109)</f>
        <v>4.225348534256625</v>
      </c>
      <c r="Q108" s="10">
        <f t="shared" ref="Q108" si="163">N108-O108/P108</f>
        <v>1.8410970584500788</v>
      </c>
      <c r="R108">
        <v>34</v>
      </c>
      <c r="S108">
        <f t="shared" ref="S108:S171" si="164">N108</f>
        <v>1.8410970584500788</v>
      </c>
    </row>
    <row r="109" spans="1:19" x14ac:dyDescent="0.2">
      <c r="A109" t="e">
        <f t="shared" si="106"/>
        <v>#NUM!</v>
      </c>
      <c r="B109" t="e">
        <f t="shared" si="107"/>
        <v>#NUM!</v>
      </c>
      <c r="C109" t="e">
        <f t="shared" si="108"/>
        <v>#NUM!</v>
      </c>
      <c r="D109" t="e">
        <f t="shared" si="109"/>
        <v>#NUM!</v>
      </c>
      <c r="E109" t="e">
        <f t="shared" si="110"/>
        <v>#NUM!</v>
      </c>
      <c r="F109" t="e">
        <f t="shared" si="111"/>
        <v>#NUM!</v>
      </c>
      <c r="G109" t="e">
        <f t="shared" si="112"/>
        <v>#NUM!</v>
      </c>
      <c r="H109" s="5" t="e">
        <f t="shared" si="113"/>
        <v>#NUM!</v>
      </c>
      <c r="I109" s="5" t="e">
        <f t="shared" si="114"/>
        <v>#NUM!</v>
      </c>
      <c r="J109" s="5">
        <v>102</v>
      </c>
      <c r="N109">
        <f t="shared" si="124"/>
        <v>1.8411070585500797</v>
      </c>
      <c r="O109">
        <f t="shared" si="102"/>
        <v>4.2253993131957657E-5</v>
      </c>
    </row>
    <row r="110" spans="1:19" x14ac:dyDescent="0.2">
      <c r="A110" t="e">
        <f t="shared" si="106"/>
        <v>#NUM!</v>
      </c>
      <c r="B110" t="e">
        <f t="shared" si="107"/>
        <v>#NUM!</v>
      </c>
      <c r="C110" t="e">
        <f t="shared" si="108"/>
        <v>#NUM!</v>
      </c>
      <c r="D110" t="e">
        <f t="shared" si="109"/>
        <v>#NUM!</v>
      </c>
      <c r="E110" t="e">
        <f t="shared" si="110"/>
        <v>#NUM!</v>
      </c>
      <c r="F110" t="e">
        <f t="shared" si="111"/>
        <v>#NUM!</v>
      </c>
      <c r="G110" t="e">
        <f t="shared" si="112"/>
        <v>#NUM!</v>
      </c>
      <c r="H110" s="5" t="e">
        <f t="shared" si="113"/>
        <v>#NUM!</v>
      </c>
      <c r="I110" s="5" t="e">
        <f t="shared" si="114"/>
        <v>#NUM!</v>
      </c>
      <c r="J110" s="5">
        <v>103</v>
      </c>
      <c r="N110">
        <f t="shared" si="119"/>
        <v>1.8410870583500778</v>
      </c>
      <c r="O110">
        <f t="shared" si="102"/>
        <v>-4.2253822631010962E-5</v>
      </c>
    </row>
    <row r="111" spans="1:19" x14ac:dyDescent="0.2">
      <c r="A111" t="e">
        <f t="shared" si="106"/>
        <v>#NUM!</v>
      </c>
      <c r="B111" t="e">
        <f t="shared" si="107"/>
        <v>#NUM!</v>
      </c>
      <c r="C111" t="e">
        <f t="shared" si="108"/>
        <v>#NUM!</v>
      </c>
      <c r="D111" t="e">
        <f t="shared" si="109"/>
        <v>#NUM!</v>
      </c>
      <c r="E111" t="e">
        <f t="shared" si="110"/>
        <v>#NUM!</v>
      </c>
      <c r="F111" t="e">
        <f t="shared" si="111"/>
        <v>#NUM!</v>
      </c>
      <c r="G111" t="e">
        <f t="shared" si="112"/>
        <v>#NUM!</v>
      </c>
      <c r="H111" s="5" t="e">
        <f t="shared" si="113"/>
        <v>#NUM!</v>
      </c>
      <c r="I111" s="5" t="e">
        <f t="shared" si="114"/>
        <v>#NUM!</v>
      </c>
      <c r="J111" s="5">
        <v>104</v>
      </c>
      <c r="N111" s="10">
        <f t="shared" ref="N111" si="165">Q108</f>
        <v>1.8410970584500788</v>
      </c>
      <c r="O111">
        <f t="shared" si="102"/>
        <v>0</v>
      </c>
      <c r="P111">
        <f t="shared" ref="P111:P174" si="166">(O110-O112)/(N110-N112)</f>
        <v>4.225348534256625</v>
      </c>
      <c r="Q111" s="10">
        <f t="shared" ref="Q111" si="167">N111-O111/P111</f>
        <v>1.8410970584500788</v>
      </c>
      <c r="R111">
        <v>35</v>
      </c>
      <c r="S111">
        <f t="shared" ref="S111:S174" si="168">N111</f>
        <v>1.8410970584500788</v>
      </c>
    </row>
    <row r="112" spans="1:19" x14ac:dyDescent="0.2">
      <c r="A112" t="e">
        <f t="shared" si="106"/>
        <v>#NUM!</v>
      </c>
      <c r="B112" t="e">
        <f t="shared" si="107"/>
        <v>#NUM!</v>
      </c>
      <c r="C112" t="e">
        <f t="shared" si="108"/>
        <v>#NUM!</v>
      </c>
      <c r="D112" t="e">
        <f t="shared" si="109"/>
        <v>#NUM!</v>
      </c>
      <c r="E112" t="e">
        <f t="shared" si="110"/>
        <v>#NUM!</v>
      </c>
      <c r="F112" t="e">
        <f t="shared" si="111"/>
        <v>#NUM!</v>
      </c>
      <c r="G112" t="e">
        <f t="shared" si="112"/>
        <v>#NUM!</v>
      </c>
      <c r="H112" s="5" t="e">
        <f t="shared" si="113"/>
        <v>#NUM!</v>
      </c>
      <c r="I112" s="5" t="e">
        <f t="shared" si="114"/>
        <v>#NUM!</v>
      </c>
      <c r="J112" s="5">
        <v>105</v>
      </c>
      <c r="N112">
        <f t="shared" si="124"/>
        <v>1.8411070585500797</v>
      </c>
      <c r="O112">
        <f t="shared" si="102"/>
        <v>4.2253993131957657E-5</v>
      </c>
    </row>
    <row r="113" spans="1:19" x14ac:dyDescent="0.2">
      <c r="A113" t="e">
        <f t="shared" si="106"/>
        <v>#NUM!</v>
      </c>
      <c r="B113" t="e">
        <f t="shared" si="107"/>
        <v>#NUM!</v>
      </c>
      <c r="C113" t="e">
        <f t="shared" si="108"/>
        <v>#NUM!</v>
      </c>
      <c r="D113" t="e">
        <f t="shared" si="109"/>
        <v>#NUM!</v>
      </c>
      <c r="E113" t="e">
        <f t="shared" si="110"/>
        <v>#NUM!</v>
      </c>
      <c r="F113" t="e">
        <f t="shared" si="111"/>
        <v>#NUM!</v>
      </c>
      <c r="G113" t="e">
        <f t="shared" si="112"/>
        <v>#NUM!</v>
      </c>
      <c r="H113" s="5" t="e">
        <f t="shared" si="113"/>
        <v>#NUM!</v>
      </c>
      <c r="I113" s="5" t="e">
        <f t="shared" si="114"/>
        <v>#NUM!</v>
      </c>
      <c r="J113" s="5">
        <v>106</v>
      </c>
      <c r="N113">
        <f t="shared" si="119"/>
        <v>1.8410870583500778</v>
      </c>
      <c r="O113">
        <f t="shared" si="102"/>
        <v>-4.2253822631010962E-5</v>
      </c>
    </row>
    <row r="114" spans="1:19" x14ac:dyDescent="0.2">
      <c r="A114" t="e">
        <f t="shared" si="106"/>
        <v>#NUM!</v>
      </c>
      <c r="B114" t="e">
        <f t="shared" si="107"/>
        <v>#NUM!</v>
      </c>
      <c r="C114" t="e">
        <f t="shared" si="108"/>
        <v>#NUM!</v>
      </c>
      <c r="D114" t="e">
        <f t="shared" si="109"/>
        <v>#NUM!</v>
      </c>
      <c r="E114" t="e">
        <f t="shared" si="110"/>
        <v>#NUM!</v>
      </c>
      <c r="F114" t="e">
        <f t="shared" si="111"/>
        <v>#NUM!</v>
      </c>
      <c r="G114" t="e">
        <f t="shared" si="112"/>
        <v>#NUM!</v>
      </c>
      <c r="H114" s="5" t="e">
        <f t="shared" si="113"/>
        <v>#NUM!</v>
      </c>
      <c r="I114" s="5" t="e">
        <f t="shared" si="114"/>
        <v>#NUM!</v>
      </c>
      <c r="J114" s="5">
        <v>107</v>
      </c>
      <c r="N114" s="10">
        <f t="shared" ref="N114" si="169">Q111</f>
        <v>1.8410970584500788</v>
      </c>
      <c r="O114">
        <f t="shared" si="102"/>
        <v>0</v>
      </c>
      <c r="P114">
        <f t="shared" ref="P114:P177" si="170">(O113-O115)/(N113-N115)</f>
        <v>4.225348534256625</v>
      </c>
      <c r="Q114" s="10">
        <f t="shared" ref="Q114" si="171">N114-O114/P114</f>
        <v>1.8410970584500788</v>
      </c>
      <c r="R114">
        <v>36</v>
      </c>
      <c r="S114">
        <f t="shared" ref="S114:S177" si="172">N114</f>
        <v>1.8410970584500788</v>
      </c>
    </row>
    <row r="115" spans="1:19" x14ac:dyDescent="0.2">
      <c r="A115" t="e">
        <f t="shared" si="106"/>
        <v>#NUM!</v>
      </c>
      <c r="B115" t="e">
        <f t="shared" si="107"/>
        <v>#NUM!</v>
      </c>
      <c r="C115" t="e">
        <f t="shared" si="108"/>
        <v>#NUM!</v>
      </c>
      <c r="D115" t="e">
        <f t="shared" si="109"/>
        <v>#NUM!</v>
      </c>
      <c r="E115" t="e">
        <f t="shared" si="110"/>
        <v>#NUM!</v>
      </c>
      <c r="F115" t="e">
        <f t="shared" si="111"/>
        <v>#NUM!</v>
      </c>
      <c r="G115" t="e">
        <f t="shared" si="112"/>
        <v>#NUM!</v>
      </c>
      <c r="H115" s="5" t="e">
        <f t="shared" si="113"/>
        <v>#NUM!</v>
      </c>
      <c r="I115" s="5" t="e">
        <f t="shared" si="114"/>
        <v>#NUM!</v>
      </c>
      <c r="J115" s="5">
        <v>108</v>
      </c>
      <c r="N115">
        <f t="shared" si="124"/>
        <v>1.8411070585500797</v>
      </c>
      <c r="O115">
        <f t="shared" si="102"/>
        <v>4.2253993131957657E-5</v>
      </c>
    </row>
    <row r="116" spans="1:19" x14ac:dyDescent="0.2">
      <c r="A116" t="e">
        <f t="shared" si="106"/>
        <v>#NUM!</v>
      </c>
      <c r="B116" t="e">
        <f t="shared" si="107"/>
        <v>#NUM!</v>
      </c>
      <c r="C116" t="e">
        <f t="shared" si="108"/>
        <v>#NUM!</v>
      </c>
      <c r="D116" t="e">
        <f t="shared" si="109"/>
        <v>#NUM!</v>
      </c>
      <c r="E116" t="e">
        <f t="shared" si="110"/>
        <v>#NUM!</v>
      </c>
      <c r="F116" t="e">
        <f t="shared" si="111"/>
        <v>#NUM!</v>
      </c>
      <c r="G116" t="e">
        <f t="shared" si="112"/>
        <v>#NUM!</v>
      </c>
      <c r="H116" s="5" t="e">
        <f t="shared" si="113"/>
        <v>#NUM!</v>
      </c>
      <c r="I116" s="5" t="e">
        <f t="shared" si="114"/>
        <v>#NUM!</v>
      </c>
      <c r="J116" s="5">
        <v>109</v>
      </c>
      <c r="N116">
        <f t="shared" si="119"/>
        <v>1.8410870583500778</v>
      </c>
      <c r="O116">
        <f t="shared" si="102"/>
        <v>-4.2253822631010962E-5</v>
      </c>
    </row>
    <row r="117" spans="1:19" x14ac:dyDescent="0.2">
      <c r="A117" t="e">
        <f t="shared" si="106"/>
        <v>#NUM!</v>
      </c>
      <c r="B117" t="e">
        <f t="shared" si="107"/>
        <v>#NUM!</v>
      </c>
      <c r="C117" t="e">
        <f t="shared" si="108"/>
        <v>#NUM!</v>
      </c>
      <c r="D117" t="e">
        <f t="shared" si="109"/>
        <v>#NUM!</v>
      </c>
      <c r="E117" t="e">
        <f t="shared" si="110"/>
        <v>#NUM!</v>
      </c>
      <c r="F117" t="e">
        <f t="shared" si="111"/>
        <v>#NUM!</v>
      </c>
      <c r="G117" t="e">
        <f t="shared" si="112"/>
        <v>#NUM!</v>
      </c>
      <c r="H117" s="5" t="e">
        <f t="shared" si="113"/>
        <v>#NUM!</v>
      </c>
      <c r="I117" s="5" t="e">
        <f t="shared" si="114"/>
        <v>#NUM!</v>
      </c>
      <c r="J117" s="5">
        <v>110</v>
      </c>
      <c r="N117" s="10">
        <f t="shared" ref="N117" si="173">Q114</f>
        <v>1.8410970584500788</v>
      </c>
      <c r="O117">
        <f t="shared" si="102"/>
        <v>0</v>
      </c>
      <c r="P117">
        <f t="shared" ref="P117:P180" si="174">(O116-O118)/(N116-N118)</f>
        <v>4.225348534256625</v>
      </c>
      <c r="Q117" s="10">
        <f t="shared" ref="Q117" si="175">N117-O117/P117</f>
        <v>1.8410970584500788</v>
      </c>
      <c r="R117">
        <v>37</v>
      </c>
      <c r="S117">
        <f t="shared" ref="S117:S180" si="176">N117</f>
        <v>1.8410970584500788</v>
      </c>
    </row>
    <row r="118" spans="1:19" x14ac:dyDescent="0.2">
      <c r="A118" t="e">
        <f t="shared" si="106"/>
        <v>#NUM!</v>
      </c>
      <c r="B118" t="e">
        <f t="shared" si="107"/>
        <v>#NUM!</v>
      </c>
      <c r="C118" t="e">
        <f t="shared" si="108"/>
        <v>#NUM!</v>
      </c>
      <c r="D118" t="e">
        <f t="shared" si="109"/>
        <v>#NUM!</v>
      </c>
      <c r="E118" t="e">
        <f t="shared" si="110"/>
        <v>#NUM!</v>
      </c>
      <c r="F118" t="e">
        <f t="shared" si="111"/>
        <v>#NUM!</v>
      </c>
      <c r="G118" t="e">
        <f t="shared" si="112"/>
        <v>#NUM!</v>
      </c>
      <c r="H118" s="5" t="e">
        <f t="shared" si="113"/>
        <v>#NUM!</v>
      </c>
      <c r="I118" s="5" t="e">
        <f t="shared" si="114"/>
        <v>#NUM!</v>
      </c>
      <c r="J118" s="5">
        <v>111</v>
      </c>
      <c r="N118">
        <f t="shared" si="124"/>
        <v>1.8411070585500797</v>
      </c>
      <c r="O118">
        <f t="shared" si="102"/>
        <v>4.2253993131957657E-5</v>
      </c>
    </row>
    <row r="119" spans="1:19" x14ac:dyDescent="0.2">
      <c r="A119" t="e">
        <f t="shared" si="106"/>
        <v>#NUM!</v>
      </c>
      <c r="B119" t="e">
        <f t="shared" si="107"/>
        <v>#NUM!</v>
      </c>
      <c r="C119" t="e">
        <f t="shared" si="108"/>
        <v>#NUM!</v>
      </c>
      <c r="D119" t="e">
        <f t="shared" si="109"/>
        <v>#NUM!</v>
      </c>
      <c r="E119" t="e">
        <f t="shared" si="110"/>
        <v>#NUM!</v>
      </c>
      <c r="F119" t="e">
        <f t="shared" si="111"/>
        <v>#NUM!</v>
      </c>
      <c r="G119" t="e">
        <f t="shared" si="112"/>
        <v>#NUM!</v>
      </c>
      <c r="H119" s="5" t="e">
        <f t="shared" si="113"/>
        <v>#NUM!</v>
      </c>
      <c r="I119" s="5" t="e">
        <f t="shared" si="114"/>
        <v>#NUM!</v>
      </c>
      <c r="J119" s="5">
        <v>112</v>
      </c>
      <c r="N119">
        <f t="shared" si="119"/>
        <v>1.8410870583500778</v>
      </c>
      <c r="O119">
        <f t="shared" si="102"/>
        <v>-4.2253822631010962E-5</v>
      </c>
    </row>
    <row r="120" spans="1:19" x14ac:dyDescent="0.2">
      <c r="A120" t="e">
        <f t="shared" si="106"/>
        <v>#NUM!</v>
      </c>
      <c r="B120" t="e">
        <f t="shared" si="107"/>
        <v>#NUM!</v>
      </c>
      <c r="C120" t="e">
        <f t="shared" si="108"/>
        <v>#NUM!</v>
      </c>
      <c r="D120" t="e">
        <f t="shared" si="109"/>
        <v>#NUM!</v>
      </c>
      <c r="E120" t="e">
        <f t="shared" si="110"/>
        <v>#NUM!</v>
      </c>
      <c r="F120" t="e">
        <f t="shared" si="111"/>
        <v>#NUM!</v>
      </c>
      <c r="G120" t="e">
        <f t="shared" si="112"/>
        <v>#NUM!</v>
      </c>
      <c r="H120" s="5" t="e">
        <f t="shared" si="113"/>
        <v>#NUM!</v>
      </c>
      <c r="I120" s="5" t="e">
        <f t="shared" si="114"/>
        <v>#NUM!</v>
      </c>
      <c r="J120" s="5">
        <v>113</v>
      </c>
      <c r="N120" s="10">
        <f t="shared" ref="N120" si="177">Q117</f>
        <v>1.8410970584500788</v>
      </c>
      <c r="O120">
        <f t="shared" si="102"/>
        <v>0</v>
      </c>
      <c r="P120">
        <f t="shared" ref="P120:P183" si="178">(O119-O121)/(N119-N121)</f>
        <v>4.225348534256625</v>
      </c>
      <c r="Q120" s="10">
        <f t="shared" ref="Q120" si="179">N120-O120/P120</f>
        <v>1.8410970584500788</v>
      </c>
      <c r="R120">
        <v>38</v>
      </c>
      <c r="S120">
        <f t="shared" ref="S120:S183" si="180">N120</f>
        <v>1.8410970584500788</v>
      </c>
    </row>
    <row r="121" spans="1:19" x14ac:dyDescent="0.2">
      <c r="A121" t="e">
        <f t="shared" si="106"/>
        <v>#NUM!</v>
      </c>
      <c r="B121" t="e">
        <f t="shared" si="107"/>
        <v>#NUM!</v>
      </c>
      <c r="C121" t="e">
        <f t="shared" si="108"/>
        <v>#NUM!</v>
      </c>
      <c r="D121" t="e">
        <f t="shared" si="109"/>
        <v>#NUM!</v>
      </c>
      <c r="E121" t="e">
        <f t="shared" si="110"/>
        <v>#NUM!</v>
      </c>
      <c r="F121" t="e">
        <f t="shared" si="111"/>
        <v>#NUM!</v>
      </c>
      <c r="G121" t="e">
        <f t="shared" si="112"/>
        <v>#NUM!</v>
      </c>
      <c r="H121" s="5" t="e">
        <f t="shared" si="113"/>
        <v>#NUM!</v>
      </c>
      <c r="I121" s="5" t="e">
        <f t="shared" si="114"/>
        <v>#NUM!</v>
      </c>
      <c r="J121" s="5">
        <v>114</v>
      </c>
      <c r="N121">
        <f t="shared" si="124"/>
        <v>1.8411070585500797</v>
      </c>
      <c r="O121">
        <f t="shared" si="102"/>
        <v>4.2253993131957657E-5</v>
      </c>
    </row>
    <row r="122" spans="1:19" x14ac:dyDescent="0.2">
      <c r="A122" t="e">
        <f t="shared" si="106"/>
        <v>#NUM!</v>
      </c>
      <c r="B122" t="e">
        <f t="shared" si="107"/>
        <v>#NUM!</v>
      </c>
      <c r="C122" t="e">
        <f t="shared" si="108"/>
        <v>#NUM!</v>
      </c>
      <c r="D122" t="e">
        <f t="shared" si="109"/>
        <v>#NUM!</v>
      </c>
      <c r="E122" t="e">
        <f t="shared" si="110"/>
        <v>#NUM!</v>
      </c>
      <c r="F122" t="e">
        <f t="shared" si="111"/>
        <v>#NUM!</v>
      </c>
      <c r="G122" t="e">
        <f t="shared" si="112"/>
        <v>#NUM!</v>
      </c>
      <c r="H122" s="5" t="e">
        <f t="shared" si="113"/>
        <v>#NUM!</v>
      </c>
      <c r="I122" s="5" t="e">
        <f t="shared" si="114"/>
        <v>#NUM!</v>
      </c>
      <c r="J122" s="5">
        <v>115</v>
      </c>
      <c r="N122">
        <f t="shared" si="119"/>
        <v>1.8410870583500778</v>
      </c>
      <c r="O122">
        <f t="shared" si="102"/>
        <v>-4.2253822631010962E-5</v>
      </c>
    </row>
    <row r="123" spans="1:19" x14ac:dyDescent="0.2">
      <c r="A123" t="e">
        <f t="shared" si="106"/>
        <v>#NUM!</v>
      </c>
      <c r="B123" t="e">
        <f t="shared" si="107"/>
        <v>#NUM!</v>
      </c>
      <c r="C123" t="e">
        <f t="shared" si="108"/>
        <v>#NUM!</v>
      </c>
      <c r="D123" t="e">
        <f t="shared" si="109"/>
        <v>#NUM!</v>
      </c>
      <c r="E123" t="e">
        <f t="shared" si="110"/>
        <v>#NUM!</v>
      </c>
      <c r="F123" t="e">
        <f t="shared" si="111"/>
        <v>#NUM!</v>
      </c>
      <c r="G123" t="e">
        <f t="shared" si="112"/>
        <v>#NUM!</v>
      </c>
      <c r="H123" s="5" t="e">
        <f t="shared" si="113"/>
        <v>#NUM!</v>
      </c>
      <c r="I123" s="5" t="e">
        <f t="shared" si="114"/>
        <v>#NUM!</v>
      </c>
      <c r="J123" s="5">
        <v>116</v>
      </c>
      <c r="N123" s="10">
        <f t="shared" ref="N123" si="181">Q120</f>
        <v>1.8410970584500788</v>
      </c>
      <c r="O123">
        <f t="shared" si="102"/>
        <v>0</v>
      </c>
      <c r="P123">
        <f t="shared" ref="P123:P186" si="182">(O122-O124)/(N122-N124)</f>
        <v>4.225348534256625</v>
      </c>
      <c r="Q123" s="10">
        <f t="shared" ref="Q123" si="183">N123-O123/P123</f>
        <v>1.8410970584500788</v>
      </c>
      <c r="R123">
        <v>39</v>
      </c>
      <c r="S123">
        <f t="shared" ref="S123:S186" si="184">N123</f>
        <v>1.8410970584500788</v>
      </c>
    </row>
    <row r="124" spans="1:19" x14ac:dyDescent="0.2">
      <c r="A124" t="e">
        <f t="shared" si="106"/>
        <v>#NUM!</v>
      </c>
      <c r="B124" t="e">
        <f t="shared" si="107"/>
        <v>#NUM!</v>
      </c>
      <c r="C124" t="e">
        <f t="shared" si="108"/>
        <v>#NUM!</v>
      </c>
      <c r="D124" t="e">
        <f t="shared" si="109"/>
        <v>#NUM!</v>
      </c>
      <c r="E124" t="e">
        <f t="shared" si="110"/>
        <v>#NUM!</v>
      </c>
      <c r="F124" t="e">
        <f t="shared" si="111"/>
        <v>#NUM!</v>
      </c>
      <c r="G124" t="e">
        <f t="shared" si="112"/>
        <v>#NUM!</v>
      </c>
      <c r="H124" s="5" t="e">
        <f t="shared" si="113"/>
        <v>#NUM!</v>
      </c>
      <c r="I124" s="5" t="e">
        <f t="shared" si="114"/>
        <v>#NUM!</v>
      </c>
      <c r="J124" s="5">
        <v>117</v>
      </c>
      <c r="N124">
        <f t="shared" si="124"/>
        <v>1.8411070585500797</v>
      </c>
      <c r="O124">
        <f t="shared" si="102"/>
        <v>4.2253993131957657E-5</v>
      </c>
    </row>
    <row r="125" spans="1:19" x14ac:dyDescent="0.2">
      <c r="A125" t="e">
        <f t="shared" si="106"/>
        <v>#NUM!</v>
      </c>
      <c r="B125" t="e">
        <f t="shared" si="107"/>
        <v>#NUM!</v>
      </c>
      <c r="C125" t="e">
        <f t="shared" si="108"/>
        <v>#NUM!</v>
      </c>
      <c r="D125" t="e">
        <f t="shared" si="109"/>
        <v>#NUM!</v>
      </c>
      <c r="E125" t="e">
        <f t="shared" si="110"/>
        <v>#NUM!</v>
      </c>
      <c r="F125" t="e">
        <f t="shared" si="111"/>
        <v>#NUM!</v>
      </c>
      <c r="G125" t="e">
        <f t="shared" si="112"/>
        <v>#NUM!</v>
      </c>
      <c r="H125" s="5" t="e">
        <f t="shared" si="113"/>
        <v>#NUM!</v>
      </c>
      <c r="I125" s="5" t="e">
        <f t="shared" si="114"/>
        <v>#NUM!</v>
      </c>
      <c r="J125" s="5">
        <v>118</v>
      </c>
      <c r="N125">
        <f t="shared" si="119"/>
        <v>1.8410870583500778</v>
      </c>
      <c r="O125">
        <f t="shared" si="102"/>
        <v>-4.2253822631010962E-5</v>
      </c>
    </row>
    <row r="126" spans="1:19" x14ac:dyDescent="0.2">
      <c r="A126" t="e">
        <f t="shared" si="106"/>
        <v>#NUM!</v>
      </c>
      <c r="B126" t="e">
        <f t="shared" si="107"/>
        <v>#NUM!</v>
      </c>
      <c r="C126" t="e">
        <f t="shared" si="108"/>
        <v>#NUM!</v>
      </c>
      <c r="D126" t="e">
        <f t="shared" si="109"/>
        <v>#NUM!</v>
      </c>
      <c r="E126" t="e">
        <f t="shared" si="110"/>
        <v>#NUM!</v>
      </c>
      <c r="F126" t="e">
        <f t="shared" si="111"/>
        <v>#NUM!</v>
      </c>
      <c r="G126" t="e">
        <f t="shared" si="112"/>
        <v>#NUM!</v>
      </c>
      <c r="H126" s="5" t="e">
        <f t="shared" si="113"/>
        <v>#NUM!</v>
      </c>
      <c r="I126" s="5" t="e">
        <f t="shared" si="114"/>
        <v>#NUM!</v>
      </c>
      <c r="J126" s="5">
        <v>119</v>
      </c>
      <c r="N126" s="10">
        <f t="shared" ref="N126" si="185">Q123</f>
        <v>1.8410970584500788</v>
      </c>
      <c r="O126">
        <f t="shared" si="102"/>
        <v>0</v>
      </c>
      <c r="P126">
        <f t="shared" ref="P126:P189" si="186">(O125-O127)/(N125-N127)</f>
        <v>4.225348534256625</v>
      </c>
      <c r="Q126" s="10">
        <f t="shared" ref="Q126" si="187">N126-O126/P126</f>
        <v>1.8410970584500788</v>
      </c>
      <c r="R126">
        <v>40</v>
      </c>
      <c r="S126">
        <f t="shared" ref="S126:S189" si="188">N126</f>
        <v>1.8410970584500788</v>
      </c>
    </row>
    <row r="127" spans="1:19" x14ac:dyDescent="0.2">
      <c r="A127" t="e">
        <f t="shared" si="106"/>
        <v>#NUM!</v>
      </c>
      <c r="B127" t="e">
        <f t="shared" si="107"/>
        <v>#NUM!</v>
      </c>
      <c r="C127" t="e">
        <f t="shared" si="108"/>
        <v>#NUM!</v>
      </c>
      <c r="D127" t="e">
        <f t="shared" si="109"/>
        <v>#NUM!</v>
      </c>
      <c r="E127" t="e">
        <f t="shared" si="110"/>
        <v>#NUM!</v>
      </c>
      <c r="F127" t="e">
        <f t="shared" si="111"/>
        <v>#NUM!</v>
      </c>
      <c r="G127" t="e">
        <f t="shared" si="112"/>
        <v>#NUM!</v>
      </c>
      <c r="H127" s="5" t="e">
        <f t="shared" si="113"/>
        <v>#NUM!</v>
      </c>
      <c r="I127" s="5" t="e">
        <f t="shared" si="114"/>
        <v>#NUM!</v>
      </c>
      <c r="J127" s="5">
        <v>120</v>
      </c>
      <c r="N127">
        <f t="shared" si="124"/>
        <v>1.8411070585500797</v>
      </c>
      <c r="O127">
        <f t="shared" si="102"/>
        <v>4.2253993131957657E-5</v>
      </c>
    </row>
    <row r="128" spans="1:19" x14ac:dyDescent="0.2">
      <c r="A128" t="e">
        <f t="shared" si="106"/>
        <v>#NUM!</v>
      </c>
      <c r="B128" t="e">
        <f t="shared" si="107"/>
        <v>#NUM!</v>
      </c>
      <c r="C128" t="e">
        <f t="shared" si="108"/>
        <v>#NUM!</v>
      </c>
      <c r="D128" t="e">
        <f t="shared" si="109"/>
        <v>#NUM!</v>
      </c>
      <c r="E128" t="e">
        <f t="shared" si="110"/>
        <v>#NUM!</v>
      </c>
      <c r="F128" t="e">
        <f t="shared" si="111"/>
        <v>#NUM!</v>
      </c>
      <c r="G128" t="e">
        <f t="shared" si="112"/>
        <v>#NUM!</v>
      </c>
      <c r="H128" s="5" t="e">
        <f t="shared" si="113"/>
        <v>#NUM!</v>
      </c>
      <c r="I128" s="5" t="e">
        <f t="shared" si="114"/>
        <v>#NUM!</v>
      </c>
      <c r="J128" s="5">
        <v>121</v>
      </c>
      <c r="N128">
        <f t="shared" si="119"/>
        <v>1.8410870583500778</v>
      </c>
      <c r="O128">
        <f t="shared" si="102"/>
        <v>-4.2253822631010962E-5</v>
      </c>
    </row>
    <row r="129" spans="1:19" x14ac:dyDescent="0.2">
      <c r="A129" t="e">
        <f t="shared" si="106"/>
        <v>#NUM!</v>
      </c>
      <c r="B129" t="e">
        <f t="shared" si="107"/>
        <v>#NUM!</v>
      </c>
      <c r="C129" t="e">
        <f t="shared" si="108"/>
        <v>#NUM!</v>
      </c>
      <c r="D129" t="e">
        <f t="shared" si="109"/>
        <v>#NUM!</v>
      </c>
      <c r="E129" t="e">
        <f t="shared" si="110"/>
        <v>#NUM!</v>
      </c>
      <c r="F129" t="e">
        <f t="shared" si="111"/>
        <v>#NUM!</v>
      </c>
      <c r="G129" t="e">
        <f t="shared" si="112"/>
        <v>#NUM!</v>
      </c>
      <c r="H129" s="5" t="e">
        <f t="shared" si="113"/>
        <v>#NUM!</v>
      </c>
      <c r="I129" s="5" t="e">
        <f t="shared" si="114"/>
        <v>#NUM!</v>
      </c>
      <c r="J129" s="5">
        <v>122</v>
      </c>
      <c r="N129" s="10">
        <f t="shared" ref="N129" si="189">Q126</f>
        <v>1.8410970584500788</v>
      </c>
      <c r="O129">
        <f t="shared" si="102"/>
        <v>0</v>
      </c>
      <c r="P129">
        <f t="shared" ref="P129:P192" si="190">(O128-O130)/(N128-N130)</f>
        <v>4.225348534256625</v>
      </c>
      <c r="Q129" s="10">
        <f t="shared" ref="Q129" si="191">N129-O129/P129</f>
        <v>1.8410970584500788</v>
      </c>
      <c r="R129">
        <v>41</v>
      </c>
      <c r="S129">
        <f t="shared" ref="S129:S192" si="192">N129</f>
        <v>1.8410970584500788</v>
      </c>
    </row>
    <row r="130" spans="1:19" x14ac:dyDescent="0.2">
      <c r="A130" t="e">
        <f t="shared" si="106"/>
        <v>#NUM!</v>
      </c>
      <c r="B130" t="e">
        <f t="shared" si="107"/>
        <v>#NUM!</v>
      </c>
      <c r="C130" t="e">
        <f t="shared" si="108"/>
        <v>#NUM!</v>
      </c>
      <c r="D130" t="e">
        <f t="shared" si="109"/>
        <v>#NUM!</v>
      </c>
      <c r="E130" t="e">
        <f t="shared" si="110"/>
        <v>#NUM!</v>
      </c>
      <c r="F130" t="e">
        <f t="shared" si="111"/>
        <v>#NUM!</v>
      </c>
      <c r="G130" t="e">
        <f t="shared" si="112"/>
        <v>#NUM!</v>
      </c>
      <c r="H130" s="5" t="e">
        <f t="shared" si="113"/>
        <v>#NUM!</v>
      </c>
      <c r="I130" s="5" t="e">
        <f t="shared" si="114"/>
        <v>#NUM!</v>
      </c>
      <c r="J130" s="5">
        <v>123</v>
      </c>
      <c r="N130">
        <f t="shared" si="124"/>
        <v>1.8411070585500797</v>
      </c>
      <c r="O130">
        <f t="shared" si="102"/>
        <v>4.2253993131957657E-5</v>
      </c>
    </row>
    <row r="131" spans="1:19" x14ac:dyDescent="0.2">
      <c r="A131" t="e">
        <f t="shared" si="106"/>
        <v>#NUM!</v>
      </c>
      <c r="B131" t="e">
        <f t="shared" si="107"/>
        <v>#NUM!</v>
      </c>
      <c r="C131" t="e">
        <f t="shared" si="108"/>
        <v>#NUM!</v>
      </c>
      <c r="D131" t="e">
        <f t="shared" si="109"/>
        <v>#NUM!</v>
      </c>
      <c r="E131" t="e">
        <f t="shared" si="110"/>
        <v>#NUM!</v>
      </c>
      <c r="F131" t="e">
        <f t="shared" si="111"/>
        <v>#NUM!</v>
      </c>
      <c r="G131" t="e">
        <f t="shared" si="112"/>
        <v>#NUM!</v>
      </c>
      <c r="H131" s="5" t="e">
        <f t="shared" si="113"/>
        <v>#NUM!</v>
      </c>
      <c r="I131" s="5" t="e">
        <f t="shared" si="114"/>
        <v>#NUM!</v>
      </c>
      <c r="J131" s="5">
        <v>124</v>
      </c>
      <c r="N131">
        <f t="shared" si="119"/>
        <v>1.8410870583500778</v>
      </c>
      <c r="O131">
        <f t="shared" si="102"/>
        <v>-4.2253822631010962E-5</v>
      </c>
    </row>
    <row r="132" spans="1:19" x14ac:dyDescent="0.2">
      <c r="A132" t="e">
        <f t="shared" si="106"/>
        <v>#NUM!</v>
      </c>
      <c r="B132" t="e">
        <f t="shared" si="107"/>
        <v>#NUM!</v>
      </c>
      <c r="C132" t="e">
        <f t="shared" si="108"/>
        <v>#NUM!</v>
      </c>
      <c r="D132" t="e">
        <f t="shared" si="109"/>
        <v>#NUM!</v>
      </c>
      <c r="E132" t="e">
        <f t="shared" si="110"/>
        <v>#NUM!</v>
      </c>
      <c r="F132" t="e">
        <f t="shared" si="111"/>
        <v>#NUM!</v>
      </c>
      <c r="G132" t="e">
        <f t="shared" si="112"/>
        <v>#NUM!</v>
      </c>
      <c r="H132" s="5" t="e">
        <f t="shared" si="113"/>
        <v>#NUM!</v>
      </c>
      <c r="I132" s="5" t="e">
        <f t="shared" si="114"/>
        <v>#NUM!</v>
      </c>
      <c r="J132" s="5">
        <v>125</v>
      </c>
      <c r="N132" s="10">
        <f t="shared" ref="N132" si="193">Q129</f>
        <v>1.8410970584500788</v>
      </c>
      <c r="O132">
        <f t="shared" si="102"/>
        <v>0</v>
      </c>
      <c r="P132">
        <f t="shared" ref="P132:P195" si="194">(O131-O133)/(N131-N133)</f>
        <v>4.225348534256625</v>
      </c>
      <c r="Q132" s="10">
        <f t="shared" ref="Q132" si="195">N132-O132/P132</f>
        <v>1.8410970584500788</v>
      </c>
      <c r="R132">
        <v>42</v>
      </c>
      <c r="S132">
        <f t="shared" ref="S132:S195" si="196">N132</f>
        <v>1.8410970584500788</v>
      </c>
    </row>
    <row r="133" spans="1:19" x14ac:dyDescent="0.2">
      <c r="A133" t="e">
        <f t="shared" si="106"/>
        <v>#NUM!</v>
      </c>
      <c r="B133" t="e">
        <f t="shared" si="107"/>
        <v>#NUM!</v>
      </c>
      <c r="C133" t="e">
        <f t="shared" si="108"/>
        <v>#NUM!</v>
      </c>
      <c r="D133" t="e">
        <f t="shared" si="109"/>
        <v>#NUM!</v>
      </c>
      <c r="E133" t="e">
        <f t="shared" si="110"/>
        <v>#NUM!</v>
      </c>
      <c r="F133" t="e">
        <f t="shared" si="111"/>
        <v>#NUM!</v>
      </c>
      <c r="G133" t="e">
        <f t="shared" si="112"/>
        <v>#NUM!</v>
      </c>
      <c r="H133" s="5" t="e">
        <f t="shared" si="113"/>
        <v>#NUM!</v>
      </c>
      <c r="I133" s="5" t="e">
        <f t="shared" si="114"/>
        <v>#NUM!</v>
      </c>
      <c r="J133" s="5">
        <v>126</v>
      </c>
      <c r="N133">
        <f t="shared" si="124"/>
        <v>1.8411070585500797</v>
      </c>
      <c r="O133">
        <f t="shared" si="102"/>
        <v>4.2253993131957657E-5</v>
      </c>
    </row>
    <row r="134" spans="1:19" x14ac:dyDescent="0.2">
      <c r="A134" t="e">
        <f t="shared" si="106"/>
        <v>#NUM!</v>
      </c>
      <c r="B134" t="e">
        <f t="shared" si="107"/>
        <v>#NUM!</v>
      </c>
      <c r="C134" t="e">
        <f t="shared" si="108"/>
        <v>#NUM!</v>
      </c>
      <c r="D134" t="e">
        <f t="shared" si="109"/>
        <v>#NUM!</v>
      </c>
      <c r="E134" t="e">
        <f t="shared" si="110"/>
        <v>#NUM!</v>
      </c>
      <c r="F134" t="e">
        <f t="shared" si="111"/>
        <v>#NUM!</v>
      </c>
      <c r="G134" t="e">
        <f t="shared" si="112"/>
        <v>#NUM!</v>
      </c>
      <c r="H134" s="5" t="e">
        <f t="shared" si="113"/>
        <v>#NUM!</v>
      </c>
      <c r="I134" s="5" t="e">
        <f t="shared" si="114"/>
        <v>#NUM!</v>
      </c>
      <c r="J134" s="5">
        <v>127</v>
      </c>
      <c r="N134">
        <f t="shared" si="119"/>
        <v>1.8410870583500778</v>
      </c>
      <c r="O134">
        <f t="shared" si="102"/>
        <v>-4.2253822631010962E-5</v>
      </c>
    </row>
    <row r="135" spans="1:19" x14ac:dyDescent="0.2">
      <c r="A135" t="e">
        <f t="shared" si="106"/>
        <v>#NUM!</v>
      </c>
      <c r="B135" t="e">
        <f t="shared" si="107"/>
        <v>#NUM!</v>
      </c>
      <c r="C135" t="e">
        <f t="shared" si="108"/>
        <v>#NUM!</v>
      </c>
      <c r="D135" t="e">
        <f t="shared" si="109"/>
        <v>#NUM!</v>
      </c>
      <c r="E135" t="e">
        <f t="shared" si="110"/>
        <v>#NUM!</v>
      </c>
      <c r="F135" t="e">
        <f t="shared" si="111"/>
        <v>#NUM!</v>
      </c>
      <c r="G135" t="e">
        <f t="shared" si="112"/>
        <v>#NUM!</v>
      </c>
      <c r="H135" s="5" t="e">
        <f t="shared" si="113"/>
        <v>#NUM!</v>
      </c>
      <c r="I135" s="5" t="e">
        <f t="shared" si="114"/>
        <v>#NUM!</v>
      </c>
      <c r="J135" s="5">
        <v>128</v>
      </c>
      <c r="N135" s="10">
        <f t="shared" ref="N135" si="197">Q132</f>
        <v>1.8410970584500788</v>
      </c>
      <c r="O135">
        <f t="shared" si="102"/>
        <v>0</v>
      </c>
      <c r="P135">
        <f t="shared" ref="P135:P198" si="198">(O134-O136)/(N134-N136)</f>
        <v>4.225348534256625</v>
      </c>
      <c r="Q135" s="10">
        <f t="shared" ref="Q135" si="199">N135-O135/P135</f>
        <v>1.8410970584500788</v>
      </c>
      <c r="R135">
        <v>43</v>
      </c>
      <c r="S135">
        <f t="shared" ref="S135:S198" si="200">N135</f>
        <v>1.8410970584500788</v>
      </c>
    </row>
    <row r="136" spans="1:19" x14ac:dyDescent="0.2">
      <c r="A136" t="e">
        <f t="shared" si="106"/>
        <v>#NUM!</v>
      </c>
      <c r="B136" t="e">
        <f t="shared" si="107"/>
        <v>#NUM!</v>
      </c>
      <c r="C136" t="e">
        <f t="shared" si="108"/>
        <v>#NUM!</v>
      </c>
      <c r="D136" t="e">
        <f t="shared" si="109"/>
        <v>#NUM!</v>
      </c>
      <c r="E136" t="e">
        <f t="shared" si="110"/>
        <v>#NUM!</v>
      </c>
      <c r="F136" t="e">
        <f t="shared" si="111"/>
        <v>#NUM!</v>
      </c>
      <c r="G136" t="e">
        <f t="shared" si="112"/>
        <v>#NUM!</v>
      </c>
      <c r="H136" s="5" t="e">
        <f t="shared" si="113"/>
        <v>#NUM!</v>
      </c>
      <c r="I136" s="5" t="e">
        <f t="shared" si="114"/>
        <v>#NUM!</v>
      </c>
      <c r="J136" s="5">
        <v>129</v>
      </c>
      <c r="N136">
        <f t="shared" si="124"/>
        <v>1.8411070585500797</v>
      </c>
      <c r="O136">
        <f t="shared" ref="O136:O199" si="201">N136*N136+LN(N136)-4</f>
        <v>4.2253993131957657E-5</v>
      </c>
    </row>
    <row r="137" spans="1:19" x14ac:dyDescent="0.2">
      <c r="A137" t="e">
        <f t="shared" si="106"/>
        <v>#NUM!</v>
      </c>
      <c r="B137" t="e">
        <f t="shared" si="107"/>
        <v>#NUM!</v>
      </c>
      <c r="C137" t="e">
        <f t="shared" si="108"/>
        <v>#NUM!</v>
      </c>
      <c r="D137" t="e">
        <f t="shared" si="109"/>
        <v>#NUM!</v>
      </c>
      <c r="E137" t="e">
        <f t="shared" si="110"/>
        <v>#NUM!</v>
      </c>
      <c r="F137" t="e">
        <f t="shared" si="111"/>
        <v>#NUM!</v>
      </c>
      <c r="G137" t="e">
        <f t="shared" si="112"/>
        <v>#NUM!</v>
      </c>
      <c r="H137" s="5" t="e">
        <f t="shared" si="113"/>
        <v>#NUM!</v>
      </c>
      <c r="I137" s="5" t="e">
        <f t="shared" si="114"/>
        <v>#NUM!</v>
      </c>
      <c r="J137" s="5">
        <v>130</v>
      </c>
      <c r="N137">
        <f t="shared" si="119"/>
        <v>1.8410870583500778</v>
      </c>
      <c r="O137">
        <f t="shared" si="201"/>
        <v>-4.2253822631010962E-5</v>
      </c>
    </row>
    <row r="138" spans="1:19" x14ac:dyDescent="0.2">
      <c r="A138" t="e">
        <f t="shared" ref="A138:A201" si="202">IF(B137*F137&lt;0, MIN(A137,E137), IF(D137*F137&lt;0, MIN(C137,E137)))</f>
        <v>#NUM!</v>
      </c>
      <c r="B138" t="e">
        <f t="shared" ref="B138:B201" si="203">A138*A138+LN(A138)-4</f>
        <v>#NUM!</v>
      </c>
      <c r="C138" t="e">
        <f t="shared" ref="C138:C201" si="204">IF(B137*F137&lt;0, MAX(A137,E137), IF(D137*F137&lt;0, MAX(C137,E137)))</f>
        <v>#NUM!</v>
      </c>
      <c r="D138" t="e">
        <f t="shared" ref="D138:D201" si="205">C138*C138+LN(C138)-4</f>
        <v>#NUM!</v>
      </c>
      <c r="E138" t="e">
        <f t="shared" ref="E138:E201" si="206">(A138+C138)/2</f>
        <v>#NUM!</v>
      </c>
      <c r="F138" t="e">
        <f t="shared" ref="F138:F201" si="207">E138*E138+LN(E138)-4</f>
        <v>#NUM!</v>
      </c>
      <c r="G138" t="e">
        <f t="shared" ref="G138:G201" si="208">ABS(A138-C138)</f>
        <v>#NUM!</v>
      </c>
      <c r="H138" s="5" t="e">
        <f t="shared" ref="H138:H201" si="209">IF(A138=FALSE(), 999, F138)</f>
        <v>#NUM!</v>
      </c>
      <c r="I138" s="5" t="e">
        <f t="shared" ref="I138:I201" si="210">E138</f>
        <v>#NUM!</v>
      </c>
      <c r="J138" s="5">
        <v>131</v>
      </c>
      <c r="N138" s="10">
        <f t="shared" ref="N138" si="211">Q135</f>
        <v>1.8410970584500788</v>
      </c>
      <c r="O138">
        <f t="shared" si="201"/>
        <v>0</v>
      </c>
      <c r="P138">
        <f t="shared" ref="P138:P201" si="212">(O137-O139)/(N137-N139)</f>
        <v>4.225348534256625</v>
      </c>
      <c r="Q138" s="10">
        <f t="shared" ref="Q138" si="213">N138-O138/P138</f>
        <v>1.8410970584500788</v>
      </c>
      <c r="R138">
        <v>44</v>
      </c>
      <c r="S138">
        <f t="shared" ref="S138:S201" si="214">N138</f>
        <v>1.8410970584500788</v>
      </c>
    </row>
    <row r="139" spans="1:19" x14ac:dyDescent="0.2">
      <c r="A139" t="e">
        <f t="shared" si="202"/>
        <v>#NUM!</v>
      </c>
      <c r="B139" t="e">
        <f t="shared" si="203"/>
        <v>#NUM!</v>
      </c>
      <c r="C139" t="e">
        <f t="shared" si="204"/>
        <v>#NUM!</v>
      </c>
      <c r="D139" t="e">
        <f t="shared" si="205"/>
        <v>#NUM!</v>
      </c>
      <c r="E139" t="e">
        <f t="shared" si="206"/>
        <v>#NUM!</v>
      </c>
      <c r="F139" t="e">
        <f t="shared" si="207"/>
        <v>#NUM!</v>
      </c>
      <c r="G139" t="e">
        <f t="shared" si="208"/>
        <v>#NUM!</v>
      </c>
      <c r="H139" s="5" t="e">
        <f t="shared" si="209"/>
        <v>#NUM!</v>
      </c>
      <c r="I139" s="5" t="e">
        <f t="shared" si="210"/>
        <v>#NUM!</v>
      </c>
      <c r="J139" s="5">
        <v>132</v>
      </c>
      <c r="N139">
        <f t="shared" si="124"/>
        <v>1.8411070585500797</v>
      </c>
      <c r="O139">
        <f t="shared" si="201"/>
        <v>4.2253993131957657E-5</v>
      </c>
    </row>
    <row r="140" spans="1:19" x14ac:dyDescent="0.2">
      <c r="A140" t="e">
        <f t="shared" si="202"/>
        <v>#NUM!</v>
      </c>
      <c r="B140" t="e">
        <f t="shared" si="203"/>
        <v>#NUM!</v>
      </c>
      <c r="C140" t="e">
        <f t="shared" si="204"/>
        <v>#NUM!</v>
      </c>
      <c r="D140" t="e">
        <f t="shared" si="205"/>
        <v>#NUM!</v>
      </c>
      <c r="E140" t="e">
        <f t="shared" si="206"/>
        <v>#NUM!</v>
      </c>
      <c r="F140" t="e">
        <f t="shared" si="207"/>
        <v>#NUM!</v>
      </c>
      <c r="G140" t="e">
        <f t="shared" si="208"/>
        <v>#NUM!</v>
      </c>
      <c r="H140" s="5" t="e">
        <f t="shared" si="209"/>
        <v>#NUM!</v>
      </c>
      <c r="I140" s="5" t="e">
        <f t="shared" si="210"/>
        <v>#NUM!</v>
      </c>
      <c r="J140" s="5">
        <v>133</v>
      </c>
      <c r="N140">
        <f t="shared" si="119"/>
        <v>1.8410870583500778</v>
      </c>
      <c r="O140">
        <f t="shared" si="201"/>
        <v>-4.2253822631010962E-5</v>
      </c>
    </row>
    <row r="141" spans="1:19" x14ac:dyDescent="0.2">
      <c r="A141" t="e">
        <f t="shared" si="202"/>
        <v>#NUM!</v>
      </c>
      <c r="B141" t="e">
        <f t="shared" si="203"/>
        <v>#NUM!</v>
      </c>
      <c r="C141" t="e">
        <f t="shared" si="204"/>
        <v>#NUM!</v>
      </c>
      <c r="D141" t="e">
        <f t="shared" si="205"/>
        <v>#NUM!</v>
      </c>
      <c r="E141" t="e">
        <f t="shared" si="206"/>
        <v>#NUM!</v>
      </c>
      <c r="F141" t="e">
        <f t="shared" si="207"/>
        <v>#NUM!</v>
      </c>
      <c r="G141" t="e">
        <f t="shared" si="208"/>
        <v>#NUM!</v>
      </c>
      <c r="H141" s="5" t="e">
        <f t="shared" si="209"/>
        <v>#NUM!</v>
      </c>
      <c r="I141" s="5" t="e">
        <f t="shared" si="210"/>
        <v>#NUM!</v>
      </c>
      <c r="J141" s="5">
        <v>134</v>
      </c>
      <c r="N141" s="10">
        <f t="shared" ref="N141" si="215">Q138</f>
        <v>1.8410970584500788</v>
      </c>
      <c r="O141">
        <f t="shared" si="201"/>
        <v>0</v>
      </c>
      <c r="P141">
        <f t="shared" ref="P141:P204" si="216">(O140-O142)/(N140-N142)</f>
        <v>4.225348534256625</v>
      </c>
      <c r="Q141" s="10">
        <f t="shared" ref="Q141" si="217">N141-O141/P141</f>
        <v>1.8410970584500788</v>
      </c>
      <c r="R141">
        <v>45</v>
      </c>
      <c r="S141">
        <f t="shared" ref="S141:S204" si="218">N141</f>
        <v>1.8410970584500788</v>
      </c>
    </row>
    <row r="142" spans="1:19" x14ac:dyDescent="0.2">
      <c r="A142" t="e">
        <f t="shared" si="202"/>
        <v>#NUM!</v>
      </c>
      <c r="B142" t="e">
        <f t="shared" si="203"/>
        <v>#NUM!</v>
      </c>
      <c r="C142" t="e">
        <f t="shared" si="204"/>
        <v>#NUM!</v>
      </c>
      <c r="D142" t="e">
        <f t="shared" si="205"/>
        <v>#NUM!</v>
      </c>
      <c r="E142" t="e">
        <f t="shared" si="206"/>
        <v>#NUM!</v>
      </c>
      <c r="F142" t="e">
        <f t="shared" si="207"/>
        <v>#NUM!</v>
      </c>
      <c r="G142" t="e">
        <f t="shared" si="208"/>
        <v>#NUM!</v>
      </c>
      <c r="H142" s="5" t="e">
        <f t="shared" si="209"/>
        <v>#NUM!</v>
      </c>
      <c r="I142" s="5" t="e">
        <f t="shared" si="210"/>
        <v>#NUM!</v>
      </c>
      <c r="J142" s="5">
        <v>135</v>
      </c>
      <c r="N142">
        <f t="shared" si="124"/>
        <v>1.8411070585500797</v>
      </c>
      <c r="O142">
        <f t="shared" si="201"/>
        <v>4.2253993131957657E-5</v>
      </c>
    </row>
    <row r="143" spans="1:19" x14ac:dyDescent="0.2">
      <c r="A143" t="e">
        <f t="shared" si="202"/>
        <v>#NUM!</v>
      </c>
      <c r="B143" t="e">
        <f t="shared" si="203"/>
        <v>#NUM!</v>
      </c>
      <c r="C143" t="e">
        <f t="shared" si="204"/>
        <v>#NUM!</v>
      </c>
      <c r="D143" t="e">
        <f t="shared" si="205"/>
        <v>#NUM!</v>
      </c>
      <c r="E143" t="e">
        <f t="shared" si="206"/>
        <v>#NUM!</v>
      </c>
      <c r="F143" t="e">
        <f t="shared" si="207"/>
        <v>#NUM!</v>
      </c>
      <c r="G143" t="e">
        <f t="shared" si="208"/>
        <v>#NUM!</v>
      </c>
      <c r="H143" s="5" t="e">
        <f t="shared" si="209"/>
        <v>#NUM!</v>
      </c>
      <c r="I143" s="5" t="e">
        <f t="shared" si="210"/>
        <v>#NUM!</v>
      </c>
      <c r="J143" s="5">
        <v>136</v>
      </c>
      <c r="N143">
        <f t="shared" ref="N143:N206" si="219">N144-1/99999</f>
        <v>1.8410870583500778</v>
      </c>
      <c r="O143">
        <f t="shared" si="201"/>
        <v>-4.2253822631010962E-5</v>
      </c>
    </row>
    <row r="144" spans="1:19" x14ac:dyDescent="0.2">
      <c r="A144" t="e">
        <f t="shared" si="202"/>
        <v>#NUM!</v>
      </c>
      <c r="B144" t="e">
        <f t="shared" si="203"/>
        <v>#NUM!</v>
      </c>
      <c r="C144" t="e">
        <f t="shared" si="204"/>
        <v>#NUM!</v>
      </c>
      <c r="D144" t="e">
        <f t="shared" si="205"/>
        <v>#NUM!</v>
      </c>
      <c r="E144" t="e">
        <f t="shared" si="206"/>
        <v>#NUM!</v>
      </c>
      <c r="F144" t="e">
        <f t="shared" si="207"/>
        <v>#NUM!</v>
      </c>
      <c r="G144" t="e">
        <f t="shared" si="208"/>
        <v>#NUM!</v>
      </c>
      <c r="H144" s="5" t="e">
        <f t="shared" si="209"/>
        <v>#NUM!</v>
      </c>
      <c r="I144" s="5" t="e">
        <f t="shared" si="210"/>
        <v>#NUM!</v>
      </c>
      <c r="J144" s="5">
        <v>137</v>
      </c>
      <c r="N144" s="10">
        <f t="shared" ref="N144" si="220">Q141</f>
        <v>1.8410970584500788</v>
      </c>
      <c r="O144">
        <f t="shared" si="201"/>
        <v>0</v>
      </c>
      <c r="P144">
        <f t="shared" ref="P144:P207" si="221">(O143-O145)/(N143-N145)</f>
        <v>4.225348534256625</v>
      </c>
      <c r="Q144" s="10">
        <f t="shared" ref="Q144" si="222">N144-O144/P144</f>
        <v>1.8410970584500788</v>
      </c>
      <c r="R144">
        <v>46</v>
      </c>
      <c r="S144">
        <f t="shared" ref="S144:S207" si="223">N144</f>
        <v>1.8410970584500788</v>
      </c>
    </row>
    <row r="145" spans="1:19" x14ac:dyDescent="0.2">
      <c r="A145" t="e">
        <f t="shared" si="202"/>
        <v>#NUM!</v>
      </c>
      <c r="B145" t="e">
        <f t="shared" si="203"/>
        <v>#NUM!</v>
      </c>
      <c r="C145" t="e">
        <f t="shared" si="204"/>
        <v>#NUM!</v>
      </c>
      <c r="D145" t="e">
        <f t="shared" si="205"/>
        <v>#NUM!</v>
      </c>
      <c r="E145" t="e">
        <f t="shared" si="206"/>
        <v>#NUM!</v>
      </c>
      <c r="F145" t="e">
        <f t="shared" si="207"/>
        <v>#NUM!</v>
      </c>
      <c r="G145" t="e">
        <f t="shared" si="208"/>
        <v>#NUM!</v>
      </c>
      <c r="H145" s="5" t="e">
        <f t="shared" si="209"/>
        <v>#NUM!</v>
      </c>
      <c r="I145" s="5" t="e">
        <f t="shared" si="210"/>
        <v>#NUM!</v>
      </c>
      <c r="J145" s="5">
        <v>138</v>
      </c>
      <c r="N145">
        <f t="shared" ref="N145:N208" si="224">N144+1/99999</f>
        <v>1.8411070585500797</v>
      </c>
      <c r="O145">
        <f t="shared" si="201"/>
        <v>4.2253993131957657E-5</v>
      </c>
    </row>
    <row r="146" spans="1:19" x14ac:dyDescent="0.2">
      <c r="A146" t="e">
        <f t="shared" si="202"/>
        <v>#NUM!</v>
      </c>
      <c r="B146" t="e">
        <f t="shared" si="203"/>
        <v>#NUM!</v>
      </c>
      <c r="C146" t="e">
        <f t="shared" si="204"/>
        <v>#NUM!</v>
      </c>
      <c r="D146" t="e">
        <f t="shared" si="205"/>
        <v>#NUM!</v>
      </c>
      <c r="E146" t="e">
        <f t="shared" si="206"/>
        <v>#NUM!</v>
      </c>
      <c r="F146" t="e">
        <f t="shared" si="207"/>
        <v>#NUM!</v>
      </c>
      <c r="G146" t="e">
        <f t="shared" si="208"/>
        <v>#NUM!</v>
      </c>
      <c r="H146" s="5" t="e">
        <f t="shared" si="209"/>
        <v>#NUM!</v>
      </c>
      <c r="I146" s="5" t="e">
        <f t="shared" si="210"/>
        <v>#NUM!</v>
      </c>
      <c r="J146" s="5">
        <v>139</v>
      </c>
      <c r="N146">
        <f t="shared" si="219"/>
        <v>1.8410870583500778</v>
      </c>
      <c r="O146">
        <f t="shared" si="201"/>
        <v>-4.2253822631010962E-5</v>
      </c>
    </row>
    <row r="147" spans="1:19" x14ac:dyDescent="0.2">
      <c r="A147" t="e">
        <f t="shared" si="202"/>
        <v>#NUM!</v>
      </c>
      <c r="B147" t="e">
        <f t="shared" si="203"/>
        <v>#NUM!</v>
      </c>
      <c r="C147" t="e">
        <f t="shared" si="204"/>
        <v>#NUM!</v>
      </c>
      <c r="D147" t="e">
        <f t="shared" si="205"/>
        <v>#NUM!</v>
      </c>
      <c r="E147" t="e">
        <f t="shared" si="206"/>
        <v>#NUM!</v>
      </c>
      <c r="F147" t="e">
        <f t="shared" si="207"/>
        <v>#NUM!</v>
      </c>
      <c r="G147" t="e">
        <f t="shared" si="208"/>
        <v>#NUM!</v>
      </c>
      <c r="H147" s="5" t="e">
        <f t="shared" si="209"/>
        <v>#NUM!</v>
      </c>
      <c r="I147" s="5" t="e">
        <f t="shared" si="210"/>
        <v>#NUM!</v>
      </c>
      <c r="J147" s="5">
        <v>140</v>
      </c>
      <c r="N147" s="10">
        <f t="shared" ref="N147" si="225">Q144</f>
        <v>1.8410970584500788</v>
      </c>
      <c r="O147">
        <f t="shared" si="201"/>
        <v>0</v>
      </c>
      <c r="P147">
        <f t="shared" ref="P147:P210" si="226">(O146-O148)/(N146-N148)</f>
        <v>4.225348534256625</v>
      </c>
      <c r="Q147" s="10">
        <f t="shared" ref="Q147" si="227">N147-O147/P147</f>
        <v>1.8410970584500788</v>
      </c>
      <c r="R147">
        <v>47</v>
      </c>
      <c r="S147">
        <f t="shared" ref="S147:S210" si="228">N147</f>
        <v>1.8410970584500788</v>
      </c>
    </row>
    <row r="148" spans="1:19" x14ac:dyDescent="0.2">
      <c r="A148" t="e">
        <f t="shared" si="202"/>
        <v>#NUM!</v>
      </c>
      <c r="B148" t="e">
        <f t="shared" si="203"/>
        <v>#NUM!</v>
      </c>
      <c r="C148" t="e">
        <f t="shared" si="204"/>
        <v>#NUM!</v>
      </c>
      <c r="D148" t="e">
        <f t="shared" si="205"/>
        <v>#NUM!</v>
      </c>
      <c r="E148" t="e">
        <f t="shared" si="206"/>
        <v>#NUM!</v>
      </c>
      <c r="F148" t="e">
        <f t="shared" si="207"/>
        <v>#NUM!</v>
      </c>
      <c r="G148" t="e">
        <f t="shared" si="208"/>
        <v>#NUM!</v>
      </c>
      <c r="H148" s="5" t="e">
        <f t="shared" si="209"/>
        <v>#NUM!</v>
      </c>
      <c r="I148" s="5" t="e">
        <f t="shared" si="210"/>
        <v>#NUM!</v>
      </c>
      <c r="J148" s="5">
        <v>141</v>
      </c>
      <c r="N148">
        <f t="shared" si="224"/>
        <v>1.8411070585500797</v>
      </c>
      <c r="O148">
        <f t="shared" si="201"/>
        <v>4.2253993131957657E-5</v>
      </c>
    </row>
    <row r="149" spans="1:19" x14ac:dyDescent="0.2">
      <c r="A149" t="e">
        <f t="shared" si="202"/>
        <v>#NUM!</v>
      </c>
      <c r="B149" t="e">
        <f t="shared" si="203"/>
        <v>#NUM!</v>
      </c>
      <c r="C149" t="e">
        <f t="shared" si="204"/>
        <v>#NUM!</v>
      </c>
      <c r="D149" t="e">
        <f t="shared" si="205"/>
        <v>#NUM!</v>
      </c>
      <c r="E149" t="e">
        <f t="shared" si="206"/>
        <v>#NUM!</v>
      </c>
      <c r="F149" t="e">
        <f t="shared" si="207"/>
        <v>#NUM!</v>
      </c>
      <c r="G149" t="e">
        <f t="shared" si="208"/>
        <v>#NUM!</v>
      </c>
      <c r="H149" s="5" t="e">
        <f t="shared" si="209"/>
        <v>#NUM!</v>
      </c>
      <c r="I149" s="5" t="e">
        <f t="shared" si="210"/>
        <v>#NUM!</v>
      </c>
      <c r="J149" s="5">
        <v>142</v>
      </c>
      <c r="N149">
        <f t="shared" si="219"/>
        <v>1.8410870583500778</v>
      </c>
      <c r="O149">
        <f t="shared" si="201"/>
        <v>-4.2253822631010962E-5</v>
      </c>
    </row>
    <row r="150" spans="1:19" x14ac:dyDescent="0.2">
      <c r="A150" t="e">
        <f t="shared" si="202"/>
        <v>#NUM!</v>
      </c>
      <c r="B150" t="e">
        <f t="shared" si="203"/>
        <v>#NUM!</v>
      </c>
      <c r="C150" t="e">
        <f t="shared" si="204"/>
        <v>#NUM!</v>
      </c>
      <c r="D150" t="e">
        <f t="shared" si="205"/>
        <v>#NUM!</v>
      </c>
      <c r="E150" t="e">
        <f t="shared" si="206"/>
        <v>#NUM!</v>
      </c>
      <c r="F150" t="e">
        <f t="shared" si="207"/>
        <v>#NUM!</v>
      </c>
      <c r="G150" t="e">
        <f t="shared" si="208"/>
        <v>#NUM!</v>
      </c>
      <c r="H150" s="5" t="e">
        <f t="shared" si="209"/>
        <v>#NUM!</v>
      </c>
      <c r="I150" s="5" t="e">
        <f t="shared" si="210"/>
        <v>#NUM!</v>
      </c>
      <c r="J150" s="5">
        <v>143</v>
      </c>
      <c r="N150" s="10">
        <f t="shared" ref="N150" si="229">Q147</f>
        <v>1.8410970584500788</v>
      </c>
      <c r="O150">
        <f t="shared" si="201"/>
        <v>0</v>
      </c>
      <c r="P150">
        <f t="shared" ref="P150:P213" si="230">(O149-O151)/(N149-N151)</f>
        <v>4.225348534256625</v>
      </c>
      <c r="Q150" s="10">
        <f t="shared" ref="Q150" si="231">N150-O150/P150</f>
        <v>1.8410970584500788</v>
      </c>
      <c r="R150">
        <v>48</v>
      </c>
      <c r="S150">
        <f t="shared" ref="S150:S213" si="232">N150</f>
        <v>1.8410970584500788</v>
      </c>
    </row>
    <row r="151" spans="1:19" x14ac:dyDescent="0.2">
      <c r="A151" t="e">
        <f t="shared" si="202"/>
        <v>#NUM!</v>
      </c>
      <c r="B151" t="e">
        <f t="shared" si="203"/>
        <v>#NUM!</v>
      </c>
      <c r="C151" t="e">
        <f t="shared" si="204"/>
        <v>#NUM!</v>
      </c>
      <c r="D151" t="e">
        <f t="shared" si="205"/>
        <v>#NUM!</v>
      </c>
      <c r="E151" t="e">
        <f t="shared" si="206"/>
        <v>#NUM!</v>
      </c>
      <c r="F151" t="e">
        <f t="shared" si="207"/>
        <v>#NUM!</v>
      </c>
      <c r="G151" t="e">
        <f t="shared" si="208"/>
        <v>#NUM!</v>
      </c>
      <c r="H151" s="5" t="e">
        <f t="shared" si="209"/>
        <v>#NUM!</v>
      </c>
      <c r="I151" s="5" t="e">
        <f t="shared" si="210"/>
        <v>#NUM!</v>
      </c>
      <c r="J151" s="5">
        <v>144</v>
      </c>
      <c r="N151">
        <f t="shared" si="224"/>
        <v>1.8411070585500797</v>
      </c>
      <c r="O151">
        <f t="shared" si="201"/>
        <v>4.2253993131957657E-5</v>
      </c>
    </row>
    <row r="152" spans="1:19" x14ac:dyDescent="0.2">
      <c r="A152" t="e">
        <f t="shared" si="202"/>
        <v>#NUM!</v>
      </c>
      <c r="B152" t="e">
        <f t="shared" si="203"/>
        <v>#NUM!</v>
      </c>
      <c r="C152" t="e">
        <f t="shared" si="204"/>
        <v>#NUM!</v>
      </c>
      <c r="D152" t="e">
        <f t="shared" si="205"/>
        <v>#NUM!</v>
      </c>
      <c r="E152" t="e">
        <f t="shared" si="206"/>
        <v>#NUM!</v>
      </c>
      <c r="F152" t="e">
        <f t="shared" si="207"/>
        <v>#NUM!</v>
      </c>
      <c r="G152" t="e">
        <f t="shared" si="208"/>
        <v>#NUM!</v>
      </c>
      <c r="H152" s="5" t="e">
        <f t="shared" si="209"/>
        <v>#NUM!</v>
      </c>
      <c r="I152" s="5" t="e">
        <f t="shared" si="210"/>
        <v>#NUM!</v>
      </c>
      <c r="J152" s="5">
        <v>145</v>
      </c>
      <c r="N152">
        <f t="shared" si="219"/>
        <v>1.8410870583500778</v>
      </c>
      <c r="O152">
        <f t="shared" si="201"/>
        <v>-4.2253822631010962E-5</v>
      </c>
    </row>
    <row r="153" spans="1:19" x14ac:dyDescent="0.2">
      <c r="A153" t="e">
        <f t="shared" si="202"/>
        <v>#NUM!</v>
      </c>
      <c r="B153" t="e">
        <f t="shared" si="203"/>
        <v>#NUM!</v>
      </c>
      <c r="C153" t="e">
        <f t="shared" si="204"/>
        <v>#NUM!</v>
      </c>
      <c r="D153" t="e">
        <f t="shared" si="205"/>
        <v>#NUM!</v>
      </c>
      <c r="E153" t="e">
        <f t="shared" si="206"/>
        <v>#NUM!</v>
      </c>
      <c r="F153" t="e">
        <f t="shared" si="207"/>
        <v>#NUM!</v>
      </c>
      <c r="G153" t="e">
        <f t="shared" si="208"/>
        <v>#NUM!</v>
      </c>
      <c r="H153" s="5" t="e">
        <f t="shared" si="209"/>
        <v>#NUM!</v>
      </c>
      <c r="I153" s="5" t="e">
        <f t="shared" si="210"/>
        <v>#NUM!</v>
      </c>
      <c r="J153" s="5">
        <v>146</v>
      </c>
      <c r="N153" s="10">
        <f t="shared" ref="N153" si="233">Q150</f>
        <v>1.8410970584500788</v>
      </c>
      <c r="O153">
        <f t="shared" si="201"/>
        <v>0</v>
      </c>
      <c r="P153">
        <f t="shared" ref="P153:P216" si="234">(O152-O154)/(N152-N154)</f>
        <v>4.225348534256625</v>
      </c>
      <c r="Q153" s="10">
        <f t="shared" ref="Q153" si="235">N153-O153/P153</f>
        <v>1.8410970584500788</v>
      </c>
      <c r="R153">
        <v>49</v>
      </c>
      <c r="S153">
        <f t="shared" ref="S153:S216" si="236">N153</f>
        <v>1.8410970584500788</v>
      </c>
    </row>
    <row r="154" spans="1:19" x14ac:dyDescent="0.2">
      <c r="A154" t="e">
        <f t="shared" si="202"/>
        <v>#NUM!</v>
      </c>
      <c r="B154" t="e">
        <f t="shared" si="203"/>
        <v>#NUM!</v>
      </c>
      <c r="C154" t="e">
        <f t="shared" si="204"/>
        <v>#NUM!</v>
      </c>
      <c r="D154" t="e">
        <f t="shared" si="205"/>
        <v>#NUM!</v>
      </c>
      <c r="E154" t="e">
        <f t="shared" si="206"/>
        <v>#NUM!</v>
      </c>
      <c r="F154" t="e">
        <f t="shared" si="207"/>
        <v>#NUM!</v>
      </c>
      <c r="G154" t="e">
        <f t="shared" si="208"/>
        <v>#NUM!</v>
      </c>
      <c r="H154" s="5" t="e">
        <f t="shared" si="209"/>
        <v>#NUM!</v>
      </c>
      <c r="I154" s="5" t="e">
        <f t="shared" si="210"/>
        <v>#NUM!</v>
      </c>
      <c r="J154" s="5">
        <v>147</v>
      </c>
      <c r="N154">
        <f t="shared" si="224"/>
        <v>1.8411070585500797</v>
      </c>
      <c r="O154">
        <f t="shared" si="201"/>
        <v>4.2253993131957657E-5</v>
      </c>
    </row>
    <row r="155" spans="1:19" x14ac:dyDescent="0.2">
      <c r="A155" t="e">
        <f t="shared" si="202"/>
        <v>#NUM!</v>
      </c>
      <c r="B155" t="e">
        <f t="shared" si="203"/>
        <v>#NUM!</v>
      </c>
      <c r="C155" t="e">
        <f t="shared" si="204"/>
        <v>#NUM!</v>
      </c>
      <c r="D155" t="e">
        <f t="shared" si="205"/>
        <v>#NUM!</v>
      </c>
      <c r="E155" t="e">
        <f t="shared" si="206"/>
        <v>#NUM!</v>
      </c>
      <c r="F155" t="e">
        <f t="shared" si="207"/>
        <v>#NUM!</v>
      </c>
      <c r="G155" t="e">
        <f t="shared" si="208"/>
        <v>#NUM!</v>
      </c>
      <c r="H155" s="5" t="e">
        <f t="shared" si="209"/>
        <v>#NUM!</v>
      </c>
      <c r="I155" s="5" t="e">
        <f t="shared" si="210"/>
        <v>#NUM!</v>
      </c>
      <c r="J155" s="5">
        <v>148</v>
      </c>
      <c r="N155">
        <f t="shared" si="219"/>
        <v>1.8410870583500778</v>
      </c>
      <c r="O155">
        <f t="shared" si="201"/>
        <v>-4.2253822631010962E-5</v>
      </c>
    </row>
    <row r="156" spans="1:19" x14ac:dyDescent="0.2">
      <c r="A156" t="e">
        <f t="shared" si="202"/>
        <v>#NUM!</v>
      </c>
      <c r="B156" t="e">
        <f t="shared" si="203"/>
        <v>#NUM!</v>
      </c>
      <c r="C156" t="e">
        <f t="shared" si="204"/>
        <v>#NUM!</v>
      </c>
      <c r="D156" t="e">
        <f t="shared" si="205"/>
        <v>#NUM!</v>
      </c>
      <c r="E156" t="e">
        <f t="shared" si="206"/>
        <v>#NUM!</v>
      </c>
      <c r="F156" t="e">
        <f t="shared" si="207"/>
        <v>#NUM!</v>
      </c>
      <c r="G156" t="e">
        <f t="shared" si="208"/>
        <v>#NUM!</v>
      </c>
      <c r="H156" s="5" t="e">
        <f t="shared" si="209"/>
        <v>#NUM!</v>
      </c>
      <c r="I156" s="5" t="e">
        <f t="shared" si="210"/>
        <v>#NUM!</v>
      </c>
      <c r="J156" s="5">
        <v>149</v>
      </c>
      <c r="N156" s="10">
        <f t="shared" ref="N156" si="237">Q153</f>
        <v>1.8410970584500788</v>
      </c>
      <c r="O156">
        <f t="shared" si="201"/>
        <v>0</v>
      </c>
      <c r="P156">
        <f t="shared" ref="P156:P219" si="238">(O155-O157)/(N155-N157)</f>
        <v>4.225348534256625</v>
      </c>
      <c r="Q156" s="10">
        <f t="shared" ref="Q156" si="239">N156-O156/P156</f>
        <v>1.8410970584500788</v>
      </c>
      <c r="R156">
        <v>50</v>
      </c>
      <c r="S156">
        <f t="shared" ref="S156:S219" si="240">N156</f>
        <v>1.8410970584500788</v>
      </c>
    </row>
    <row r="157" spans="1:19" x14ac:dyDescent="0.2">
      <c r="A157" t="e">
        <f t="shared" si="202"/>
        <v>#NUM!</v>
      </c>
      <c r="B157" t="e">
        <f t="shared" si="203"/>
        <v>#NUM!</v>
      </c>
      <c r="C157" t="e">
        <f t="shared" si="204"/>
        <v>#NUM!</v>
      </c>
      <c r="D157" t="e">
        <f t="shared" si="205"/>
        <v>#NUM!</v>
      </c>
      <c r="E157" t="e">
        <f t="shared" si="206"/>
        <v>#NUM!</v>
      </c>
      <c r="F157" t="e">
        <f t="shared" si="207"/>
        <v>#NUM!</v>
      </c>
      <c r="G157" t="e">
        <f t="shared" si="208"/>
        <v>#NUM!</v>
      </c>
      <c r="H157" s="5" t="e">
        <f t="shared" si="209"/>
        <v>#NUM!</v>
      </c>
      <c r="I157" s="5" t="e">
        <f t="shared" si="210"/>
        <v>#NUM!</v>
      </c>
      <c r="J157" s="5">
        <v>150</v>
      </c>
      <c r="N157">
        <f t="shared" si="224"/>
        <v>1.8411070585500797</v>
      </c>
      <c r="O157">
        <f t="shared" si="201"/>
        <v>4.2253993131957657E-5</v>
      </c>
    </row>
    <row r="158" spans="1:19" x14ac:dyDescent="0.2">
      <c r="A158" t="e">
        <f t="shared" si="202"/>
        <v>#NUM!</v>
      </c>
      <c r="B158" t="e">
        <f t="shared" si="203"/>
        <v>#NUM!</v>
      </c>
      <c r="C158" t="e">
        <f t="shared" si="204"/>
        <v>#NUM!</v>
      </c>
      <c r="D158" t="e">
        <f t="shared" si="205"/>
        <v>#NUM!</v>
      </c>
      <c r="E158" t="e">
        <f t="shared" si="206"/>
        <v>#NUM!</v>
      </c>
      <c r="F158" t="e">
        <f t="shared" si="207"/>
        <v>#NUM!</v>
      </c>
      <c r="G158" t="e">
        <f t="shared" si="208"/>
        <v>#NUM!</v>
      </c>
      <c r="H158" s="5" t="e">
        <f t="shared" si="209"/>
        <v>#NUM!</v>
      </c>
      <c r="I158" s="5" t="e">
        <f t="shared" si="210"/>
        <v>#NUM!</v>
      </c>
      <c r="J158" s="5">
        <v>151</v>
      </c>
      <c r="N158">
        <f t="shared" si="219"/>
        <v>1.8410870583500778</v>
      </c>
      <c r="O158">
        <f t="shared" si="201"/>
        <v>-4.2253822631010962E-5</v>
      </c>
    </row>
    <row r="159" spans="1:19" x14ac:dyDescent="0.2">
      <c r="A159" t="e">
        <f t="shared" si="202"/>
        <v>#NUM!</v>
      </c>
      <c r="B159" t="e">
        <f t="shared" si="203"/>
        <v>#NUM!</v>
      </c>
      <c r="C159" t="e">
        <f t="shared" si="204"/>
        <v>#NUM!</v>
      </c>
      <c r="D159" t="e">
        <f t="shared" si="205"/>
        <v>#NUM!</v>
      </c>
      <c r="E159" t="e">
        <f t="shared" si="206"/>
        <v>#NUM!</v>
      </c>
      <c r="F159" t="e">
        <f t="shared" si="207"/>
        <v>#NUM!</v>
      </c>
      <c r="G159" t="e">
        <f t="shared" si="208"/>
        <v>#NUM!</v>
      </c>
      <c r="H159" s="5" t="e">
        <f t="shared" si="209"/>
        <v>#NUM!</v>
      </c>
      <c r="I159" s="5" t="e">
        <f t="shared" si="210"/>
        <v>#NUM!</v>
      </c>
      <c r="J159" s="5">
        <v>152</v>
      </c>
      <c r="N159" s="10">
        <f t="shared" ref="N159" si="241">Q156</f>
        <v>1.8410970584500788</v>
      </c>
      <c r="O159">
        <f t="shared" si="201"/>
        <v>0</v>
      </c>
      <c r="P159">
        <f t="shared" ref="P159:P222" si="242">(O158-O160)/(N158-N160)</f>
        <v>4.225348534256625</v>
      </c>
      <c r="Q159" s="10">
        <f t="shared" ref="Q159" si="243">N159-O159/P159</f>
        <v>1.8410970584500788</v>
      </c>
      <c r="R159">
        <v>51</v>
      </c>
      <c r="S159">
        <f t="shared" ref="S159:S222" si="244">N159</f>
        <v>1.8410970584500788</v>
      </c>
    </row>
    <row r="160" spans="1:19" x14ac:dyDescent="0.2">
      <c r="A160" t="e">
        <f t="shared" si="202"/>
        <v>#NUM!</v>
      </c>
      <c r="B160" t="e">
        <f t="shared" si="203"/>
        <v>#NUM!</v>
      </c>
      <c r="C160" t="e">
        <f t="shared" si="204"/>
        <v>#NUM!</v>
      </c>
      <c r="D160" t="e">
        <f t="shared" si="205"/>
        <v>#NUM!</v>
      </c>
      <c r="E160" t="e">
        <f t="shared" si="206"/>
        <v>#NUM!</v>
      </c>
      <c r="F160" t="e">
        <f t="shared" si="207"/>
        <v>#NUM!</v>
      </c>
      <c r="G160" t="e">
        <f t="shared" si="208"/>
        <v>#NUM!</v>
      </c>
      <c r="H160" s="5" t="e">
        <f t="shared" si="209"/>
        <v>#NUM!</v>
      </c>
      <c r="I160" s="5" t="e">
        <f t="shared" si="210"/>
        <v>#NUM!</v>
      </c>
      <c r="J160" s="5">
        <v>153</v>
      </c>
      <c r="N160">
        <f t="shared" si="224"/>
        <v>1.8411070585500797</v>
      </c>
      <c r="O160">
        <f t="shared" si="201"/>
        <v>4.2253993131957657E-5</v>
      </c>
    </row>
    <row r="161" spans="1:19" x14ac:dyDescent="0.2">
      <c r="A161" t="e">
        <f t="shared" si="202"/>
        <v>#NUM!</v>
      </c>
      <c r="B161" t="e">
        <f t="shared" si="203"/>
        <v>#NUM!</v>
      </c>
      <c r="C161" t="e">
        <f t="shared" si="204"/>
        <v>#NUM!</v>
      </c>
      <c r="D161" t="e">
        <f t="shared" si="205"/>
        <v>#NUM!</v>
      </c>
      <c r="E161" t="e">
        <f t="shared" si="206"/>
        <v>#NUM!</v>
      </c>
      <c r="F161" t="e">
        <f t="shared" si="207"/>
        <v>#NUM!</v>
      </c>
      <c r="G161" t="e">
        <f t="shared" si="208"/>
        <v>#NUM!</v>
      </c>
      <c r="H161" s="5" t="e">
        <f t="shared" si="209"/>
        <v>#NUM!</v>
      </c>
      <c r="I161" s="5" t="e">
        <f t="shared" si="210"/>
        <v>#NUM!</v>
      </c>
      <c r="J161" s="5">
        <v>154</v>
      </c>
      <c r="N161">
        <f t="shared" si="219"/>
        <v>1.8410870583500778</v>
      </c>
      <c r="O161">
        <f t="shared" si="201"/>
        <v>-4.2253822631010962E-5</v>
      </c>
    </row>
    <row r="162" spans="1:19" x14ac:dyDescent="0.2">
      <c r="A162" t="e">
        <f t="shared" si="202"/>
        <v>#NUM!</v>
      </c>
      <c r="B162" t="e">
        <f t="shared" si="203"/>
        <v>#NUM!</v>
      </c>
      <c r="C162" t="e">
        <f t="shared" si="204"/>
        <v>#NUM!</v>
      </c>
      <c r="D162" t="e">
        <f t="shared" si="205"/>
        <v>#NUM!</v>
      </c>
      <c r="E162" t="e">
        <f t="shared" si="206"/>
        <v>#NUM!</v>
      </c>
      <c r="F162" t="e">
        <f t="shared" si="207"/>
        <v>#NUM!</v>
      </c>
      <c r="G162" t="e">
        <f t="shared" si="208"/>
        <v>#NUM!</v>
      </c>
      <c r="H162" s="5" t="e">
        <f t="shared" si="209"/>
        <v>#NUM!</v>
      </c>
      <c r="I162" s="5" t="e">
        <f t="shared" si="210"/>
        <v>#NUM!</v>
      </c>
      <c r="J162" s="5">
        <v>155</v>
      </c>
      <c r="N162" s="10">
        <f t="shared" ref="N162" si="245">Q159</f>
        <v>1.8410970584500788</v>
      </c>
      <c r="O162">
        <f t="shared" si="201"/>
        <v>0</v>
      </c>
      <c r="P162">
        <f t="shared" ref="P162:P225" si="246">(O161-O163)/(N161-N163)</f>
        <v>4.225348534256625</v>
      </c>
      <c r="Q162" s="10">
        <f t="shared" ref="Q162" si="247">N162-O162/P162</f>
        <v>1.8410970584500788</v>
      </c>
      <c r="R162">
        <v>52</v>
      </c>
      <c r="S162">
        <f t="shared" ref="S162:S225" si="248">N162</f>
        <v>1.8410970584500788</v>
      </c>
    </row>
    <row r="163" spans="1:19" x14ac:dyDescent="0.2">
      <c r="A163" t="e">
        <f t="shared" si="202"/>
        <v>#NUM!</v>
      </c>
      <c r="B163" t="e">
        <f t="shared" si="203"/>
        <v>#NUM!</v>
      </c>
      <c r="C163" t="e">
        <f t="shared" si="204"/>
        <v>#NUM!</v>
      </c>
      <c r="D163" t="e">
        <f t="shared" si="205"/>
        <v>#NUM!</v>
      </c>
      <c r="E163" t="e">
        <f t="shared" si="206"/>
        <v>#NUM!</v>
      </c>
      <c r="F163" t="e">
        <f t="shared" si="207"/>
        <v>#NUM!</v>
      </c>
      <c r="G163" t="e">
        <f t="shared" si="208"/>
        <v>#NUM!</v>
      </c>
      <c r="H163" s="5" t="e">
        <f t="shared" si="209"/>
        <v>#NUM!</v>
      </c>
      <c r="I163" s="5" t="e">
        <f t="shared" si="210"/>
        <v>#NUM!</v>
      </c>
      <c r="J163" s="5">
        <v>156</v>
      </c>
      <c r="N163">
        <f t="shared" si="224"/>
        <v>1.8411070585500797</v>
      </c>
      <c r="O163">
        <f t="shared" si="201"/>
        <v>4.2253993131957657E-5</v>
      </c>
    </row>
    <row r="164" spans="1:19" x14ac:dyDescent="0.2">
      <c r="A164" t="e">
        <f t="shared" si="202"/>
        <v>#NUM!</v>
      </c>
      <c r="B164" t="e">
        <f t="shared" si="203"/>
        <v>#NUM!</v>
      </c>
      <c r="C164" t="e">
        <f t="shared" si="204"/>
        <v>#NUM!</v>
      </c>
      <c r="D164" t="e">
        <f t="shared" si="205"/>
        <v>#NUM!</v>
      </c>
      <c r="E164" t="e">
        <f t="shared" si="206"/>
        <v>#NUM!</v>
      </c>
      <c r="F164" t="e">
        <f t="shared" si="207"/>
        <v>#NUM!</v>
      </c>
      <c r="G164" t="e">
        <f t="shared" si="208"/>
        <v>#NUM!</v>
      </c>
      <c r="H164" s="5" t="e">
        <f t="shared" si="209"/>
        <v>#NUM!</v>
      </c>
      <c r="I164" s="5" t="e">
        <f t="shared" si="210"/>
        <v>#NUM!</v>
      </c>
      <c r="J164" s="5">
        <v>157</v>
      </c>
      <c r="N164">
        <f t="shared" si="219"/>
        <v>1.8410870583500778</v>
      </c>
      <c r="O164">
        <f t="shared" si="201"/>
        <v>-4.2253822631010962E-5</v>
      </c>
    </row>
    <row r="165" spans="1:19" x14ac:dyDescent="0.2">
      <c r="A165" t="e">
        <f t="shared" si="202"/>
        <v>#NUM!</v>
      </c>
      <c r="B165" t="e">
        <f t="shared" si="203"/>
        <v>#NUM!</v>
      </c>
      <c r="C165" t="e">
        <f t="shared" si="204"/>
        <v>#NUM!</v>
      </c>
      <c r="D165" t="e">
        <f t="shared" si="205"/>
        <v>#NUM!</v>
      </c>
      <c r="E165" t="e">
        <f t="shared" si="206"/>
        <v>#NUM!</v>
      </c>
      <c r="F165" t="e">
        <f t="shared" si="207"/>
        <v>#NUM!</v>
      </c>
      <c r="G165" t="e">
        <f t="shared" si="208"/>
        <v>#NUM!</v>
      </c>
      <c r="H165" s="5" t="e">
        <f t="shared" si="209"/>
        <v>#NUM!</v>
      </c>
      <c r="I165" s="5" t="e">
        <f t="shared" si="210"/>
        <v>#NUM!</v>
      </c>
      <c r="J165" s="5">
        <v>158</v>
      </c>
      <c r="N165" s="10">
        <f t="shared" ref="N165" si="249">Q162</f>
        <v>1.8410970584500788</v>
      </c>
      <c r="O165">
        <f t="shared" si="201"/>
        <v>0</v>
      </c>
      <c r="P165">
        <f t="shared" ref="P165:P228" si="250">(O164-O166)/(N164-N166)</f>
        <v>4.225348534256625</v>
      </c>
      <c r="Q165" s="10">
        <f t="shared" ref="Q165" si="251">N165-O165/P165</f>
        <v>1.8410970584500788</v>
      </c>
      <c r="R165">
        <v>53</v>
      </c>
      <c r="S165">
        <f t="shared" ref="S165:S228" si="252">N165</f>
        <v>1.8410970584500788</v>
      </c>
    </row>
    <row r="166" spans="1:19" x14ac:dyDescent="0.2">
      <c r="A166" t="e">
        <f t="shared" si="202"/>
        <v>#NUM!</v>
      </c>
      <c r="B166" t="e">
        <f t="shared" si="203"/>
        <v>#NUM!</v>
      </c>
      <c r="C166" t="e">
        <f t="shared" si="204"/>
        <v>#NUM!</v>
      </c>
      <c r="D166" t="e">
        <f t="shared" si="205"/>
        <v>#NUM!</v>
      </c>
      <c r="E166" t="e">
        <f t="shared" si="206"/>
        <v>#NUM!</v>
      </c>
      <c r="F166" t="e">
        <f t="shared" si="207"/>
        <v>#NUM!</v>
      </c>
      <c r="G166" t="e">
        <f t="shared" si="208"/>
        <v>#NUM!</v>
      </c>
      <c r="H166" s="5" t="e">
        <f t="shared" si="209"/>
        <v>#NUM!</v>
      </c>
      <c r="I166" s="5" t="e">
        <f t="shared" si="210"/>
        <v>#NUM!</v>
      </c>
      <c r="J166" s="5">
        <v>159</v>
      </c>
      <c r="N166">
        <f t="shared" si="224"/>
        <v>1.8411070585500797</v>
      </c>
      <c r="O166">
        <f t="shared" si="201"/>
        <v>4.2253993131957657E-5</v>
      </c>
    </row>
    <row r="167" spans="1:19" x14ac:dyDescent="0.2">
      <c r="A167" t="e">
        <f t="shared" si="202"/>
        <v>#NUM!</v>
      </c>
      <c r="B167" t="e">
        <f t="shared" si="203"/>
        <v>#NUM!</v>
      </c>
      <c r="C167" t="e">
        <f t="shared" si="204"/>
        <v>#NUM!</v>
      </c>
      <c r="D167" t="e">
        <f t="shared" si="205"/>
        <v>#NUM!</v>
      </c>
      <c r="E167" t="e">
        <f t="shared" si="206"/>
        <v>#NUM!</v>
      </c>
      <c r="F167" t="e">
        <f t="shared" si="207"/>
        <v>#NUM!</v>
      </c>
      <c r="G167" t="e">
        <f t="shared" si="208"/>
        <v>#NUM!</v>
      </c>
      <c r="H167" s="5" t="e">
        <f t="shared" si="209"/>
        <v>#NUM!</v>
      </c>
      <c r="I167" s="5" t="e">
        <f t="shared" si="210"/>
        <v>#NUM!</v>
      </c>
      <c r="J167" s="5">
        <v>160</v>
      </c>
      <c r="N167">
        <f t="shared" si="219"/>
        <v>1.8410870583500778</v>
      </c>
      <c r="O167">
        <f t="shared" si="201"/>
        <v>-4.2253822631010962E-5</v>
      </c>
    </row>
    <row r="168" spans="1:19" x14ac:dyDescent="0.2">
      <c r="A168" t="e">
        <f t="shared" si="202"/>
        <v>#NUM!</v>
      </c>
      <c r="B168" t="e">
        <f t="shared" si="203"/>
        <v>#NUM!</v>
      </c>
      <c r="C168" t="e">
        <f t="shared" si="204"/>
        <v>#NUM!</v>
      </c>
      <c r="D168" t="e">
        <f t="shared" si="205"/>
        <v>#NUM!</v>
      </c>
      <c r="E168" t="e">
        <f t="shared" si="206"/>
        <v>#NUM!</v>
      </c>
      <c r="F168" t="e">
        <f t="shared" si="207"/>
        <v>#NUM!</v>
      </c>
      <c r="G168" t="e">
        <f t="shared" si="208"/>
        <v>#NUM!</v>
      </c>
      <c r="H168" s="5" t="e">
        <f t="shared" si="209"/>
        <v>#NUM!</v>
      </c>
      <c r="I168" s="5" t="e">
        <f t="shared" si="210"/>
        <v>#NUM!</v>
      </c>
      <c r="J168" s="5">
        <v>161</v>
      </c>
      <c r="N168" s="10">
        <f t="shared" ref="N168" si="253">Q165</f>
        <v>1.8410970584500788</v>
      </c>
      <c r="O168">
        <f t="shared" si="201"/>
        <v>0</v>
      </c>
      <c r="P168">
        <f t="shared" ref="P168:P231" si="254">(O167-O169)/(N167-N169)</f>
        <v>4.225348534256625</v>
      </c>
      <c r="Q168" s="10">
        <f t="shared" ref="Q168" si="255">N168-O168/P168</f>
        <v>1.8410970584500788</v>
      </c>
      <c r="R168">
        <v>54</v>
      </c>
      <c r="S168">
        <f t="shared" ref="S168:S231" si="256">N168</f>
        <v>1.8410970584500788</v>
      </c>
    </row>
    <row r="169" spans="1:19" x14ac:dyDescent="0.2">
      <c r="A169" t="e">
        <f t="shared" si="202"/>
        <v>#NUM!</v>
      </c>
      <c r="B169" t="e">
        <f t="shared" si="203"/>
        <v>#NUM!</v>
      </c>
      <c r="C169" t="e">
        <f t="shared" si="204"/>
        <v>#NUM!</v>
      </c>
      <c r="D169" t="e">
        <f t="shared" si="205"/>
        <v>#NUM!</v>
      </c>
      <c r="E169" t="e">
        <f t="shared" si="206"/>
        <v>#NUM!</v>
      </c>
      <c r="F169" t="e">
        <f t="shared" si="207"/>
        <v>#NUM!</v>
      </c>
      <c r="G169" t="e">
        <f t="shared" si="208"/>
        <v>#NUM!</v>
      </c>
      <c r="H169" s="5" t="e">
        <f t="shared" si="209"/>
        <v>#NUM!</v>
      </c>
      <c r="I169" s="5" t="e">
        <f t="shared" si="210"/>
        <v>#NUM!</v>
      </c>
      <c r="J169" s="5">
        <v>162</v>
      </c>
      <c r="N169">
        <f t="shared" si="224"/>
        <v>1.8411070585500797</v>
      </c>
      <c r="O169">
        <f t="shared" si="201"/>
        <v>4.2253993131957657E-5</v>
      </c>
    </row>
    <row r="170" spans="1:19" x14ac:dyDescent="0.2">
      <c r="A170" t="e">
        <f t="shared" si="202"/>
        <v>#NUM!</v>
      </c>
      <c r="B170" t="e">
        <f t="shared" si="203"/>
        <v>#NUM!</v>
      </c>
      <c r="C170" t="e">
        <f t="shared" si="204"/>
        <v>#NUM!</v>
      </c>
      <c r="D170" t="e">
        <f t="shared" si="205"/>
        <v>#NUM!</v>
      </c>
      <c r="E170" t="e">
        <f t="shared" si="206"/>
        <v>#NUM!</v>
      </c>
      <c r="F170" t="e">
        <f t="shared" si="207"/>
        <v>#NUM!</v>
      </c>
      <c r="G170" t="e">
        <f t="shared" si="208"/>
        <v>#NUM!</v>
      </c>
      <c r="H170" s="5" t="e">
        <f t="shared" si="209"/>
        <v>#NUM!</v>
      </c>
      <c r="I170" s="5" t="e">
        <f t="shared" si="210"/>
        <v>#NUM!</v>
      </c>
      <c r="J170" s="5">
        <v>163</v>
      </c>
      <c r="N170">
        <f t="shared" si="219"/>
        <v>1.8410870583500778</v>
      </c>
      <c r="O170">
        <f t="shared" si="201"/>
        <v>-4.2253822631010962E-5</v>
      </c>
    </row>
    <row r="171" spans="1:19" x14ac:dyDescent="0.2">
      <c r="A171" t="e">
        <f t="shared" si="202"/>
        <v>#NUM!</v>
      </c>
      <c r="B171" t="e">
        <f t="shared" si="203"/>
        <v>#NUM!</v>
      </c>
      <c r="C171" t="e">
        <f t="shared" si="204"/>
        <v>#NUM!</v>
      </c>
      <c r="D171" t="e">
        <f t="shared" si="205"/>
        <v>#NUM!</v>
      </c>
      <c r="E171" t="e">
        <f t="shared" si="206"/>
        <v>#NUM!</v>
      </c>
      <c r="F171" t="e">
        <f t="shared" si="207"/>
        <v>#NUM!</v>
      </c>
      <c r="G171" t="e">
        <f t="shared" si="208"/>
        <v>#NUM!</v>
      </c>
      <c r="H171" s="5" t="e">
        <f t="shared" si="209"/>
        <v>#NUM!</v>
      </c>
      <c r="I171" s="5" t="e">
        <f t="shared" si="210"/>
        <v>#NUM!</v>
      </c>
      <c r="J171" s="5">
        <v>164</v>
      </c>
      <c r="N171" s="10">
        <f t="shared" ref="N171" si="257">Q168</f>
        <v>1.8410970584500788</v>
      </c>
      <c r="O171">
        <f t="shared" si="201"/>
        <v>0</v>
      </c>
      <c r="P171">
        <f t="shared" ref="P171:P234" si="258">(O170-O172)/(N170-N172)</f>
        <v>4.225348534256625</v>
      </c>
      <c r="Q171" s="10">
        <f t="shared" ref="Q171" si="259">N171-O171/P171</f>
        <v>1.8410970584500788</v>
      </c>
      <c r="R171">
        <v>55</v>
      </c>
      <c r="S171">
        <f t="shared" ref="S171:S234" si="260">N171</f>
        <v>1.8410970584500788</v>
      </c>
    </row>
    <row r="172" spans="1:19" x14ac:dyDescent="0.2">
      <c r="A172" t="e">
        <f t="shared" si="202"/>
        <v>#NUM!</v>
      </c>
      <c r="B172" t="e">
        <f t="shared" si="203"/>
        <v>#NUM!</v>
      </c>
      <c r="C172" t="e">
        <f t="shared" si="204"/>
        <v>#NUM!</v>
      </c>
      <c r="D172" t="e">
        <f t="shared" si="205"/>
        <v>#NUM!</v>
      </c>
      <c r="E172" t="e">
        <f t="shared" si="206"/>
        <v>#NUM!</v>
      </c>
      <c r="F172" t="e">
        <f t="shared" si="207"/>
        <v>#NUM!</v>
      </c>
      <c r="G172" t="e">
        <f t="shared" si="208"/>
        <v>#NUM!</v>
      </c>
      <c r="H172" s="5" t="e">
        <f t="shared" si="209"/>
        <v>#NUM!</v>
      </c>
      <c r="I172" s="5" t="e">
        <f t="shared" si="210"/>
        <v>#NUM!</v>
      </c>
      <c r="J172" s="5">
        <v>165</v>
      </c>
      <c r="N172">
        <f t="shared" si="224"/>
        <v>1.8411070585500797</v>
      </c>
      <c r="O172">
        <f t="shared" si="201"/>
        <v>4.2253993131957657E-5</v>
      </c>
    </row>
    <row r="173" spans="1:19" x14ac:dyDescent="0.2">
      <c r="A173" t="e">
        <f t="shared" si="202"/>
        <v>#NUM!</v>
      </c>
      <c r="B173" t="e">
        <f t="shared" si="203"/>
        <v>#NUM!</v>
      </c>
      <c r="C173" t="e">
        <f t="shared" si="204"/>
        <v>#NUM!</v>
      </c>
      <c r="D173" t="e">
        <f t="shared" si="205"/>
        <v>#NUM!</v>
      </c>
      <c r="E173" t="e">
        <f t="shared" si="206"/>
        <v>#NUM!</v>
      </c>
      <c r="F173" t="e">
        <f t="shared" si="207"/>
        <v>#NUM!</v>
      </c>
      <c r="G173" t="e">
        <f t="shared" si="208"/>
        <v>#NUM!</v>
      </c>
      <c r="H173" s="5" t="e">
        <f t="shared" si="209"/>
        <v>#NUM!</v>
      </c>
      <c r="I173" s="5" t="e">
        <f t="shared" si="210"/>
        <v>#NUM!</v>
      </c>
      <c r="J173" s="5">
        <v>166</v>
      </c>
      <c r="N173">
        <f t="shared" si="219"/>
        <v>1.8410870583500778</v>
      </c>
      <c r="O173">
        <f t="shared" si="201"/>
        <v>-4.2253822631010962E-5</v>
      </c>
    </row>
    <row r="174" spans="1:19" x14ac:dyDescent="0.2">
      <c r="A174" t="e">
        <f t="shared" si="202"/>
        <v>#NUM!</v>
      </c>
      <c r="B174" t="e">
        <f t="shared" si="203"/>
        <v>#NUM!</v>
      </c>
      <c r="C174" t="e">
        <f t="shared" si="204"/>
        <v>#NUM!</v>
      </c>
      <c r="D174" t="e">
        <f t="shared" si="205"/>
        <v>#NUM!</v>
      </c>
      <c r="E174" t="e">
        <f t="shared" si="206"/>
        <v>#NUM!</v>
      </c>
      <c r="F174" t="e">
        <f t="shared" si="207"/>
        <v>#NUM!</v>
      </c>
      <c r="G174" t="e">
        <f t="shared" si="208"/>
        <v>#NUM!</v>
      </c>
      <c r="H174" s="5" t="e">
        <f t="shared" si="209"/>
        <v>#NUM!</v>
      </c>
      <c r="I174" s="5" t="e">
        <f t="shared" si="210"/>
        <v>#NUM!</v>
      </c>
      <c r="J174" s="5">
        <v>167</v>
      </c>
      <c r="N174" s="10">
        <f t="shared" ref="N174" si="261">Q171</f>
        <v>1.8410970584500788</v>
      </c>
      <c r="O174">
        <f t="shared" si="201"/>
        <v>0</v>
      </c>
      <c r="P174">
        <f t="shared" ref="P174:P237" si="262">(O173-O175)/(N173-N175)</f>
        <v>4.225348534256625</v>
      </c>
      <c r="Q174" s="10">
        <f t="shared" ref="Q174" si="263">N174-O174/P174</f>
        <v>1.8410970584500788</v>
      </c>
      <c r="R174">
        <v>56</v>
      </c>
      <c r="S174">
        <f t="shared" ref="S174:S237" si="264">N174</f>
        <v>1.8410970584500788</v>
      </c>
    </row>
    <row r="175" spans="1:19" x14ac:dyDescent="0.2">
      <c r="A175" t="e">
        <f t="shared" si="202"/>
        <v>#NUM!</v>
      </c>
      <c r="B175" t="e">
        <f t="shared" si="203"/>
        <v>#NUM!</v>
      </c>
      <c r="C175" t="e">
        <f t="shared" si="204"/>
        <v>#NUM!</v>
      </c>
      <c r="D175" t="e">
        <f t="shared" si="205"/>
        <v>#NUM!</v>
      </c>
      <c r="E175" t="e">
        <f t="shared" si="206"/>
        <v>#NUM!</v>
      </c>
      <c r="F175" t="e">
        <f t="shared" si="207"/>
        <v>#NUM!</v>
      </c>
      <c r="G175" t="e">
        <f t="shared" si="208"/>
        <v>#NUM!</v>
      </c>
      <c r="H175" s="5" t="e">
        <f t="shared" si="209"/>
        <v>#NUM!</v>
      </c>
      <c r="I175" s="5" t="e">
        <f t="shared" si="210"/>
        <v>#NUM!</v>
      </c>
      <c r="J175" s="5">
        <v>168</v>
      </c>
      <c r="N175">
        <f t="shared" si="224"/>
        <v>1.8411070585500797</v>
      </c>
      <c r="O175">
        <f t="shared" si="201"/>
        <v>4.2253993131957657E-5</v>
      </c>
    </row>
    <row r="176" spans="1:19" x14ac:dyDescent="0.2">
      <c r="A176" t="e">
        <f t="shared" si="202"/>
        <v>#NUM!</v>
      </c>
      <c r="B176" t="e">
        <f t="shared" si="203"/>
        <v>#NUM!</v>
      </c>
      <c r="C176" t="e">
        <f t="shared" si="204"/>
        <v>#NUM!</v>
      </c>
      <c r="D176" t="e">
        <f t="shared" si="205"/>
        <v>#NUM!</v>
      </c>
      <c r="E176" t="e">
        <f t="shared" si="206"/>
        <v>#NUM!</v>
      </c>
      <c r="F176" t="e">
        <f t="shared" si="207"/>
        <v>#NUM!</v>
      </c>
      <c r="G176" t="e">
        <f t="shared" si="208"/>
        <v>#NUM!</v>
      </c>
      <c r="H176" s="5" t="e">
        <f t="shared" si="209"/>
        <v>#NUM!</v>
      </c>
      <c r="I176" s="5" t="e">
        <f t="shared" si="210"/>
        <v>#NUM!</v>
      </c>
      <c r="J176" s="5">
        <v>169</v>
      </c>
      <c r="N176">
        <f t="shared" si="219"/>
        <v>1.8410870583500778</v>
      </c>
      <c r="O176">
        <f t="shared" si="201"/>
        <v>-4.2253822631010962E-5</v>
      </c>
    </row>
    <row r="177" spans="1:19" x14ac:dyDescent="0.2">
      <c r="A177" t="e">
        <f t="shared" si="202"/>
        <v>#NUM!</v>
      </c>
      <c r="B177" t="e">
        <f t="shared" si="203"/>
        <v>#NUM!</v>
      </c>
      <c r="C177" t="e">
        <f t="shared" si="204"/>
        <v>#NUM!</v>
      </c>
      <c r="D177" t="e">
        <f t="shared" si="205"/>
        <v>#NUM!</v>
      </c>
      <c r="E177" t="e">
        <f t="shared" si="206"/>
        <v>#NUM!</v>
      </c>
      <c r="F177" t="e">
        <f t="shared" si="207"/>
        <v>#NUM!</v>
      </c>
      <c r="G177" t="e">
        <f t="shared" si="208"/>
        <v>#NUM!</v>
      </c>
      <c r="H177" s="5" t="e">
        <f t="shared" si="209"/>
        <v>#NUM!</v>
      </c>
      <c r="I177" s="5" t="e">
        <f t="shared" si="210"/>
        <v>#NUM!</v>
      </c>
      <c r="J177" s="5">
        <v>170</v>
      </c>
      <c r="N177" s="10">
        <f t="shared" ref="N177" si="265">Q174</f>
        <v>1.8410970584500788</v>
      </c>
      <c r="O177">
        <f t="shared" si="201"/>
        <v>0</v>
      </c>
      <c r="P177">
        <f t="shared" ref="P177:P240" si="266">(O176-O178)/(N176-N178)</f>
        <v>4.225348534256625</v>
      </c>
      <c r="Q177" s="10">
        <f t="shared" ref="Q177" si="267">N177-O177/P177</f>
        <v>1.8410970584500788</v>
      </c>
      <c r="R177">
        <v>57</v>
      </c>
      <c r="S177">
        <f t="shared" ref="S177:S240" si="268">N177</f>
        <v>1.8410970584500788</v>
      </c>
    </row>
    <row r="178" spans="1:19" x14ac:dyDescent="0.2">
      <c r="A178" t="e">
        <f t="shared" si="202"/>
        <v>#NUM!</v>
      </c>
      <c r="B178" t="e">
        <f t="shared" si="203"/>
        <v>#NUM!</v>
      </c>
      <c r="C178" t="e">
        <f t="shared" si="204"/>
        <v>#NUM!</v>
      </c>
      <c r="D178" t="e">
        <f t="shared" si="205"/>
        <v>#NUM!</v>
      </c>
      <c r="E178" t="e">
        <f t="shared" si="206"/>
        <v>#NUM!</v>
      </c>
      <c r="F178" t="e">
        <f t="shared" si="207"/>
        <v>#NUM!</v>
      </c>
      <c r="G178" t="e">
        <f t="shared" si="208"/>
        <v>#NUM!</v>
      </c>
      <c r="H178" s="5" t="e">
        <f t="shared" si="209"/>
        <v>#NUM!</v>
      </c>
      <c r="I178" s="5" t="e">
        <f t="shared" si="210"/>
        <v>#NUM!</v>
      </c>
      <c r="J178" s="5">
        <v>171</v>
      </c>
      <c r="N178">
        <f t="shared" si="224"/>
        <v>1.8411070585500797</v>
      </c>
      <c r="O178">
        <f t="shared" si="201"/>
        <v>4.2253993131957657E-5</v>
      </c>
    </row>
    <row r="179" spans="1:19" x14ac:dyDescent="0.2">
      <c r="A179" t="e">
        <f t="shared" si="202"/>
        <v>#NUM!</v>
      </c>
      <c r="B179" t="e">
        <f t="shared" si="203"/>
        <v>#NUM!</v>
      </c>
      <c r="C179" t="e">
        <f t="shared" si="204"/>
        <v>#NUM!</v>
      </c>
      <c r="D179" t="e">
        <f t="shared" si="205"/>
        <v>#NUM!</v>
      </c>
      <c r="E179" t="e">
        <f t="shared" si="206"/>
        <v>#NUM!</v>
      </c>
      <c r="F179" t="e">
        <f t="shared" si="207"/>
        <v>#NUM!</v>
      </c>
      <c r="G179" t="e">
        <f t="shared" si="208"/>
        <v>#NUM!</v>
      </c>
      <c r="H179" s="5" t="e">
        <f t="shared" si="209"/>
        <v>#NUM!</v>
      </c>
      <c r="I179" s="5" t="e">
        <f t="shared" si="210"/>
        <v>#NUM!</v>
      </c>
      <c r="J179" s="5">
        <v>172</v>
      </c>
      <c r="N179">
        <f t="shared" si="219"/>
        <v>1.8410870583500778</v>
      </c>
      <c r="O179">
        <f t="shared" si="201"/>
        <v>-4.2253822631010962E-5</v>
      </c>
    </row>
    <row r="180" spans="1:19" x14ac:dyDescent="0.2">
      <c r="A180" t="e">
        <f t="shared" si="202"/>
        <v>#NUM!</v>
      </c>
      <c r="B180" t="e">
        <f t="shared" si="203"/>
        <v>#NUM!</v>
      </c>
      <c r="C180" t="e">
        <f t="shared" si="204"/>
        <v>#NUM!</v>
      </c>
      <c r="D180" t="e">
        <f t="shared" si="205"/>
        <v>#NUM!</v>
      </c>
      <c r="E180" t="e">
        <f t="shared" si="206"/>
        <v>#NUM!</v>
      </c>
      <c r="F180" t="e">
        <f t="shared" si="207"/>
        <v>#NUM!</v>
      </c>
      <c r="G180" t="e">
        <f t="shared" si="208"/>
        <v>#NUM!</v>
      </c>
      <c r="H180" s="5" t="e">
        <f t="shared" si="209"/>
        <v>#NUM!</v>
      </c>
      <c r="I180" s="5" t="e">
        <f t="shared" si="210"/>
        <v>#NUM!</v>
      </c>
      <c r="J180" s="5">
        <v>173</v>
      </c>
      <c r="N180" s="10">
        <f t="shared" ref="N180" si="269">Q177</f>
        <v>1.8410970584500788</v>
      </c>
      <c r="O180">
        <f t="shared" si="201"/>
        <v>0</v>
      </c>
      <c r="P180">
        <f t="shared" ref="P180:P243" si="270">(O179-O181)/(N179-N181)</f>
        <v>4.225348534256625</v>
      </c>
      <c r="Q180" s="10">
        <f t="shared" ref="Q180" si="271">N180-O180/P180</f>
        <v>1.8410970584500788</v>
      </c>
      <c r="R180">
        <v>58</v>
      </c>
      <c r="S180">
        <f t="shared" ref="S180:S243" si="272">N180</f>
        <v>1.8410970584500788</v>
      </c>
    </row>
    <row r="181" spans="1:19" x14ac:dyDescent="0.2">
      <c r="A181" t="e">
        <f t="shared" si="202"/>
        <v>#NUM!</v>
      </c>
      <c r="B181" t="e">
        <f t="shared" si="203"/>
        <v>#NUM!</v>
      </c>
      <c r="C181" t="e">
        <f t="shared" si="204"/>
        <v>#NUM!</v>
      </c>
      <c r="D181" t="e">
        <f t="shared" si="205"/>
        <v>#NUM!</v>
      </c>
      <c r="E181" t="e">
        <f t="shared" si="206"/>
        <v>#NUM!</v>
      </c>
      <c r="F181" t="e">
        <f t="shared" si="207"/>
        <v>#NUM!</v>
      </c>
      <c r="G181" t="e">
        <f t="shared" si="208"/>
        <v>#NUM!</v>
      </c>
      <c r="H181" s="5" t="e">
        <f t="shared" si="209"/>
        <v>#NUM!</v>
      </c>
      <c r="I181" s="5" t="e">
        <f t="shared" si="210"/>
        <v>#NUM!</v>
      </c>
      <c r="J181" s="5">
        <v>174</v>
      </c>
      <c r="N181">
        <f t="shared" si="224"/>
        <v>1.8411070585500797</v>
      </c>
      <c r="O181">
        <f t="shared" si="201"/>
        <v>4.2253993131957657E-5</v>
      </c>
    </row>
    <row r="182" spans="1:19" x14ac:dyDescent="0.2">
      <c r="A182" t="e">
        <f t="shared" si="202"/>
        <v>#NUM!</v>
      </c>
      <c r="B182" t="e">
        <f t="shared" si="203"/>
        <v>#NUM!</v>
      </c>
      <c r="C182" t="e">
        <f t="shared" si="204"/>
        <v>#NUM!</v>
      </c>
      <c r="D182" t="e">
        <f t="shared" si="205"/>
        <v>#NUM!</v>
      </c>
      <c r="E182" t="e">
        <f t="shared" si="206"/>
        <v>#NUM!</v>
      </c>
      <c r="F182" t="e">
        <f t="shared" si="207"/>
        <v>#NUM!</v>
      </c>
      <c r="G182" t="e">
        <f t="shared" si="208"/>
        <v>#NUM!</v>
      </c>
      <c r="H182" s="5" t="e">
        <f t="shared" si="209"/>
        <v>#NUM!</v>
      </c>
      <c r="I182" s="5" t="e">
        <f t="shared" si="210"/>
        <v>#NUM!</v>
      </c>
      <c r="J182" s="5">
        <v>175</v>
      </c>
      <c r="N182">
        <f t="shared" si="219"/>
        <v>1.8410870583500778</v>
      </c>
      <c r="O182">
        <f t="shared" si="201"/>
        <v>-4.2253822631010962E-5</v>
      </c>
    </row>
    <row r="183" spans="1:19" x14ac:dyDescent="0.2">
      <c r="A183" t="e">
        <f t="shared" si="202"/>
        <v>#NUM!</v>
      </c>
      <c r="B183" t="e">
        <f t="shared" si="203"/>
        <v>#NUM!</v>
      </c>
      <c r="C183" t="e">
        <f t="shared" si="204"/>
        <v>#NUM!</v>
      </c>
      <c r="D183" t="e">
        <f t="shared" si="205"/>
        <v>#NUM!</v>
      </c>
      <c r="E183" t="e">
        <f t="shared" si="206"/>
        <v>#NUM!</v>
      </c>
      <c r="F183" t="e">
        <f t="shared" si="207"/>
        <v>#NUM!</v>
      </c>
      <c r="G183" t="e">
        <f t="shared" si="208"/>
        <v>#NUM!</v>
      </c>
      <c r="H183" s="5" t="e">
        <f t="shared" si="209"/>
        <v>#NUM!</v>
      </c>
      <c r="I183" s="5" t="e">
        <f t="shared" si="210"/>
        <v>#NUM!</v>
      </c>
      <c r="J183" s="5">
        <v>176</v>
      </c>
      <c r="N183" s="10">
        <f t="shared" ref="N183" si="273">Q180</f>
        <v>1.8410970584500788</v>
      </c>
      <c r="O183">
        <f t="shared" si="201"/>
        <v>0</v>
      </c>
      <c r="P183">
        <f t="shared" ref="P183:P246" si="274">(O182-O184)/(N182-N184)</f>
        <v>4.225348534256625</v>
      </c>
      <c r="Q183" s="10">
        <f t="shared" ref="Q183" si="275">N183-O183/P183</f>
        <v>1.8410970584500788</v>
      </c>
      <c r="R183">
        <v>59</v>
      </c>
      <c r="S183">
        <f t="shared" ref="S183:S246" si="276">N183</f>
        <v>1.8410970584500788</v>
      </c>
    </row>
    <row r="184" spans="1:19" x14ac:dyDescent="0.2">
      <c r="A184" t="e">
        <f t="shared" si="202"/>
        <v>#NUM!</v>
      </c>
      <c r="B184" t="e">
        <f t="shared" si="203"/>
        <v>#NUM!</v>
      </c>
      <c r="C184" t="e">
        <f t="shared" si="204"/>
        <v>#NUM!</v>
      </c>
      <c r="D184" t="e">
        <f t="shared" si="205"/>
        <v>#NUM!</v>
      </c>
      <c r="E184" t="e">
        <f t="shared" si="206"/>
        <v>#NUM!</v>
      </c>
      <c r="F184" t="e">
        <f t="shared" si="207"/>
        <v>#NUM!</v>
      </c>
      <c r="G184" t="e">
        <f t="shared" si="208"/>
        <v>#NUM!</v>
      </c>
      <c r="H184" s="5" t="e">
        <f t="shared" si="209"/>
        <v>#NUM!</v>
      </c>
      <c r="I184" s="5" t="e">
        <f t="shared" si="210"/>
        <v>#NUM!</v>
      </c>
      <c r="J184" s="5">
        <v>177</v>
      </c>
      <c r="N184">
        <f t="shared" si="224"/>
        <v>1.8411070585500797</v>
      </c>
      <c r="O184">
        <f t="shared" si="201"/>
        <v>4.2253993131957657E-5</v>
      </c>
    </row>
    <row r="185" spans="1:19" x14ac:dyDescent="0.2">
      <c r="A185" t="e">
        <f t="shared" si="202"/>
        <v>#NUM!</v>
      </c>
      <c r="B185" t="e">
        <f t="shared" si="203"/>
        <v>#NUM!</v>
      </c>
      <c r="C185" t="e">
        <f t="shared" si="204"/>
        <v>#NUM!</v>
      </c>
      <c r="D185" t="e">
        <f t="shared" si="205"/>
        <v>#NUM!</v>
      </c>
      <c r="E185" t="e">
        <f t="shared" si="206"/>
        <v>#NUM!</v>
      </c>
      <c r="F185" t="e">
        <f t="shared" si="207"/>
        <v>#NUM!</v>
      </c>
      <c r="G185" t="e">
        <f t="shared" si="208"/>
        <v>#NUM!</v>
      </c>
      <c r="H185" s="5" t="e">
        <f t="shared" si="209"/>
        <v>#NUM!</v>
      </c>
      <c r="I185" s="5" t="e">
        <f t="shared" si="210"/>
        <v>#NUM!</v>
      </c>
      <c r="J185" s="5">
        <v>178</v>
      </c>
      <c r="N185">
        <f t="shared" si="219"/>
        <v>1.8410870583500778</v>
      </c>
      <c r="O185">
        <f t="shared" si="201"/>
        <v>-4.2253822631010962E-5</v>
      </c>
    </row>
    <row r="186" spans="1:19" x14ac:dyDescent="0.2">
      <c r="A186" t="e">
        <f t="shared" si="202"/>
        <v>#NUM!</v>
      </c>
      <c r="B186" t="e">
        <f t="shared" si="203"/>
        <v>#NUM!</v>
      </c>
      <c r="C186" t="e">
        <f t="shared" si="204"/>
        <v>#NUM!</v>
      </c>
      <c r="D186" t="e">
        <f t="shared" si="205"/>
        <v>#NUM!</v>
      </c>
      <c r="E186" t="e">
        <f t="shared" si="206"/>
        <v>#NUM!</v>
      </c>
      <c r="F186" t="e">
        <f t="shared" si="207"/>
        <v>#NUM!</v>
      </c>
      <c r="G186" t="e">
        <f t="shared" si="208"/>
        <v>#NUM!</v>
      </c>
      <c r="H186" s="5" t="e">
        <f t="shared" si="209"/>
        <v>#NUM!</v>
      </c>
      <c r="I186" s="5" t="e">
        <f t="shared" si="210"/>
        <v>#NUM!</v>
      </c>
      <c r="J186" s="5">
        <v>179</v>
      </c>
      <c r="N186" s="10">
        <f t="shared" ref="N186" si="277">Q183</f>
        <v>1.8410970584500788</v>
      </c>
      <c r="O186">
        <f t="shared" si="201"/>
        <v>0</v>
      </c>
      <c r="P186">
        <f t="shared" ref="P186:P249" si="278">(O185-O187)/(N185-N187)</f>
        <v>4.225348534256625</v>
      </c>
      <c r="Q186" s="10">
        <f t="shared" ref="Q186" si="279">N186-O186/P186</f>
        <v>1.8410970584500788</v>
      </c>
      <c r="R186">
        <v>60</v>
      </c>
      <c r="S186">
        <f t="shared" ref="S186:S249" si="280">N186</f>
        <v>1.8410970584500788</v>
      </c>
    </row>
    <row r="187" spans="1:19" x14ac:dyDescent="0.2">
      <c r="A187" t="e">
        <f t="shared" si="202"/>
        <v>#NUM!</v>
      </c>
      <c r="B187" t="e">
        <f t="shared" si="203"/>
        <v>#NUM!</v>
      </c>
      <c r="C187" t="e">
        <f t="shared" si="204"/>
        <v>#NUM!</v>
      </c>
      <c r="D187" t="e">
        <f t="shared" si="205"/>
        <v>#NUM!</v>
      </c>
      <c r="E187" t="e">
        <f t="shared" si="206"/>
        <v>#NUM!</v>
      </c>
      <c r="F187" t="e">
        <f t="shared" si="207"/>
        <v>#NUM!</v>
      </c>
      <c r="G187" t="e">
        <f t="shared" si="208"/>
        <v>#NUM!</v>
      </c>
      <c r="H187" s="5" t="e">
        <f t="shared" si="209"/>
        <v>#NUM!</v>
      </c>
      <c r="I187" s="5" t="e">
        <f t="shared" si="210"/>
        <v>#NUM!</v>
      </c>
      <c r="J187" s="5">
        <v>180</v>
      </c>
      <c r="N187">
        <f t="shared" si="224"/>
        <v>1.8411070585500797</v>
      </c>
      <c r="O187">
        <f t="shared" si="201"/>
        <v>4.2253993131957657E-5</v>
      </c>
    </row>
    <row r="188" spans="1:19" x14ac:dyDescent="0.2">
      <c r="A188" t="e">
        <f t="shared" si="202"/>
        <v>#NUM!</v>
      </c>
      <c r="B188" t="e">
        <f t="shared" si="203"/>
        <v>#NUM!</v>
      </c>
      <c r="C188" t="e">
        <f t="shared" si="204"/>
        <v>#NUM!</v>
      </c>
      <c r="D188" t="e">
        <f t="shared" si="205"/>
        <v>#NUM!</v>
      </c>
      <c r="E188" t="e">
        <f t="shared" si="206"/>
        <v>#NUM!</v>
      </c>
      <c r="F188" t="e">
        <f t="shared" si="207"/>
        <v>#NUM!</v>
      </c>
      <c r="G188" t="e">
        <f t="shared" si="208"/>
        <v>#NUM!</v>
      </c>
      <c r="H188" s="5" t="e">
        <f t="shared" si="209"/>
        <v>#NUM!</v>
      </c>
      <c r="I188" s="5" t="e">
        <f t="shared" si="210"/>
        <v>#NUM!</v>
      </c>
      <c r="J188" s="5">
        <v>181</v>
      </c>
      <c r="N188">
        <f t="shared" si="219"/>
        <v>1.8410870583500778</v>
      </c>
      <c r="O188">
        <f t="shared" si="201"/>
        <v>-4.2253822631010962E-5</v>
      </c>
    </row>
    <row r="189" spans="1:19" x14ac:dyDescent="0.2">
      <c r="A189" t="e">
        <f t="shared" si="202"/>
        <v>#NUM!</v>
      </c>
      <c r="B189" t="e">
        <f t="shared" si="203"/>
        <v>#NUM!</v>
      </c>
      <c r="C189" t="e">
        <f t="shared" si="204"/>
        <v>#NUM!</v>
      </c>
      <c r="D189" t="e">
        <f t="shared" si="205"/>
        <v>#NUM!</v>
      </c>
      <c r="E189" t="e">
        <f t="shared" si="206"/>
        <v>#NUM!</v>
      </c>
      <c r="F189" t="e">
        <f t="shared" si="207"/>
        <v>#NUM!</v>
      </c>
      <c r="G189" t="e">
        <f t="shared" si="208"/>
        <v>#NUM!</v>
      </c>
      <c r="H189" s="5" t="e">
        <f t="shared" si="209"/>
        <v>#NUM!</v>
      </c>
      <c r="I189" s="5" t="e">
        <f t="shared" si="210"/>
        <v>#NUM!</v>
      </c>
      <c r="J189" s="5">
        <v>182</v>
      </c>
      <c r="N189" s="10">
        <f t="shared" ref="N189" si="281">Q186</f>
        <v>1.8410970584500788</v>
      </c>
      <c r="O189">
        <f t="shared" si="201"/>
        <v>0</v>
      </c>
      <c r="P189">
        <f t="shared" ref="P189:P252" si="282">(O188-O190)/(N188-N190)</f>
        <v>4.225348534256625</v>
      </c>
      <c r="Q189" s="10">
        <f t="shared" ref="Q189" si="283">N189-O189/P189</f>
        <v>1.8410970584500788</v>
      </c>
      <c r="R189">
        <v>61</v>
      </c>
      <c r="S189">
        <f t="shared" ref="S189:S252" si="284">N189</f>
        <v>1.8410970584500788</v>
      </c>
    </row>
    <row r="190" spans="1:19" x14ac:dyDescent="0.2">
      <c r="A190" t="e">
        <f t="shared" si="202"/>
        <v>#NUM!</v>
      </c>
      <c r="B190" t="e">
        <f t="shared" si="203"/>
        <v>#NUM!</v>
      </c>
      <c r="C190" t="e">
        <f t="shared" si="204"/>
        <v>#NUM!</v>
      </c>
      <c r="D190" t="e">
        <f t="shared" si="205"/>
        <v>#NUM!</v>
      </c>
      <c r="E190" t="e">
        <f t="shared" si="206"/>
        <v>#NUM!</v>
      </c>
      <c r="F190" t="e">
        <f t="shared" si="207"/>
        <v>#NUM!</v>
      </c>
      <c r="G190" t="e">
        <f t="shared" si="208"/>
        <v>#NUM!</v>
      </c>
      <c r="H190" s="5" t="e">
        <f t="shared" si="209"/>
        <v>#NUM!</v>
      </c>
      <c r="I190" s="5" t="e">
        <f t="shared" si="210"/>
        <v>#NUM!</v>
      </c>
      <c r="J190" s="5">
        <v>183</v>
      </c>
      <c r="N190">
        <f t="shared" si="224"/>
        <v>1.8411070585500797</v>
      </c>
      <c r="O190">
        <f t="shared" si="201"/>
        <v>4.2253993131957657E-5</v>
      </c>
    </row>
    <row r="191" spans="1:19" x14ac:dyDescent="0.2">
      <c r="A191" t="e">
        <f t="shared" si="202"/>
        <v>#NUM!</v>
      </c>
      <c r="B191" t="e">
        <f t="shared" si="203"/>
        <v>#NUM!</v>
      </c>
      <c r="C191" t="e">
        <f t="shared" si="204"/>
        <v>#NUM!</v>
      </c>
      <c r="D191" t="e">
        <f t="shared" si="205"/>
        <v>#NUM!</v>
      </c>
      <c r="E191" t="e">
        <f t="shared" si="206"/>
        <v>#NUM!</v>
      </c>
      <c r="F191" t="e">
        <f t="shared" si="207"/>
        <v>#NUM!</v>
      </c>
      <c r="G191" t="e">
        <f t="shared" si="208"/>
        <v>#NUM!</v>
      </c>
      <c r="H191" s="5" t="e">
        <f t="shared" si="209"/>
        <v>#NUM!</v>
      </c>
      <c r="I191" s="5" t="e">
        <f t="shared" si="210"/>
        <v>#NUM!</v>
      </c>
      <c r="J191" s="5">
        <v>184</v>
      </c>
      <c r="N191">
        <f t="shared" si="219"/>
        <v>1.8410870583500778</v>
      </c>
      <c r="O191">
        <f t="shared" si="201"/>
        <v>-4.2253822631010962E-5</v>
      </c>
    </row>
    <row r="192" spans="1:19" x14ac:dyDescent="0.2">
      <c r="A192" t="e">
        <f t="shared" si="202"/>
        <v>#NUM!</v>
      </c>
      <c r="B192" t="e">
        <f t="shared" si="203"/>
        <v>#NUM!</v>
      </c>
      <c r="C192" t="e">
        <f t="shared" si="204"/>
        <v>#NUM!</v>
      </c>
      <c r="D192" t="e">
        <f t="shared" si="205"/>
        <v>#NUM!</v>
      </c>
      <c r="E192" t="e">
        <f t="shared" si="206"/>
        <v>#NUM!</v>
      </c>
      <c r="F192" t="e">
        <f t="shared" si="207"/>
        <v>#NUM!</v>
      </c>
      <c r="G192" t="e">
        <f t="shared" si="208"/>
        <v>#NUM!</v>
      </c>
      <c r="H192" s="5" t="e">
        <f t="shared" si="209"/>
        <v>#NUM!</v>
      </c>
      <c r="I192" s="5" t="e">
        <f t="shared" si="210"/>
        <v>#NUM!</v>
      </c>
      <c r="J192" s="5">
        <v>185</v>
      </c>
      <c r="N192" s="10">
        <f t="shared" ref="N192" si="285">Q189</f>
        <v>1.8410970584500788</v>
      </c>
      <c r="O192">
        <f t="shared" si="201"/>
        <v>0</v>
      </c>
      <c r="P192">
        <f t="shared" ref="P192:P255" si="286">(O191-O193)/(N191-N193)</f>
        <v>4.225348534256625</v>
      </c>
      <c r="Q192" s="10">
        <f t="shared" ref="Q192" si="287">N192-O192/P192</f>
        <v>1.8410970584500788</v>
      </c>
      <c r="R192">
        <v>62</v>
      </c>
      <c r="S192">
        <f t="shared" ref="S192:S255" si="288">N192</f>
        <v>1.8410970584500788</v>
      </c>
    </row>
    <row r="193" spans="1:19" x14ac:dyDescent="0.2">
      <c r="A193" t="e">
        <f t="shared" si="202"/>
        <v>#NUM!</v>
      </c>
      <c r="B193" t="e">
        <f t="shared" si="203"/>
        <v>#NUM!</v>
      </c>
      <c r="C193" t="e">
        <f t="shared" si="204"/>
        <v>#NUM!</v>
      </c>
      <c r="D193" t="e">
        <f t="shared" si="205"/>
        <v>#NUM!</v>
      </c>
      <c r="E193" t="e">
        <f t="shared" si="206"/>
        <v>#NUM!</v>
      </c>
      <c r="F193" t="e">
        <f t="shared" si="207"/>
        <v>#NUM!</v>
      </c>
      <c r="G193" t="e">
        <f t="shared" si="208"/>
        <v>#NUM!</v>
      </c>
      <c r="H193" s="5" t="e">
        <f t="shared" si="209"/>
        <v>#NUM!</v>
      </c>
      <c r="I193" s="5" t="e">
        <f t="shared" si="210"/>
        <v>#NUM!</v>
      </c>
      <c r="J193" s="5">
        <v>186</v>
      </c>
      <c r="N193">
        <f t="shared" si="224"/>
        <v>1.8411070585500797</v>
      </c>
      <c r="O193">
        <f t="shared" si="201"/>
        <v>4.2253993131957657E-5</v>
      </c>
    </row>
    <row r="194" spans="1:19" x14ac:dyDescent="0.2">
      <c r="A194" t="e">
        <f t="shared" si="202"/>
        <v>#NUM!</v>
      </c>
      <c r="B194" t="e">
        <f t="shared" si="203"/>
        <v>#NUM!</v>
      </c>
      <c r="C194" t="e">
        <f t="shared" si="204"/>
        <v>#NUM!</v>
      </c>
      <c r="D194" t="e">
        <f t="shared" si="205"/>
        <v>#NUM!</v>
      </c>
      <c r="E194" t="e">
        <f t="shared" si="206"/>
        <v>#NUM!</v>
      </c>
      <c r="F194" t="e">
        <f t="shared" si="207"/>
        <v>#NUM!</v>
      </c>
      <c r="G194" t="e">
        <f t="shared" si="208"/>
        <v>#NUM!</v>
      </c>
      <c r="H194" s="5" t="e">
        <f t="shared" si="209"/>
        <v>#NUM!</v>
      </c>
      <c r="I194" s="5" t="e">
        <f t="shared" si="210"/>
        <v>#NUM!</v>
      </c>
      <c r="J194" s="5">
        <v>187</v>
      </c>
      <c r="N194">
        <f t="shared" si="219"/>
        <v>1.8410870583500778</v>
      </c>
      <c r="O194">
        <f t="shared" si="201"/>
        <v>-4.2253822631010962E-5</v>
      </c>
    </row>
    <row r="195" spans="1:19" x14ac:dyDescent="0.2">
      <c r="A195" t="e">
        <f t="shared" si="202"/>
        <v>#NUM!</v>
      </c>
      <c r="B195" t="e">
        <f t="shared" si="203"/>
        <v>#NUM!</v>
      </c>
      <c r="C195" t="e">
        <f t="shared" si="204"/>
        <v>#NUM!</v>
      </c>
      <c r="D195" t="e">
        <f t="shared" si="205"/>
        <v>#NUM!</v>
      </c>
      <c r="E195" t="e">
        <f t="shared" si="206"/>
        <v>#NUM!</v>
      </c>
      <c r="F195" t="e">
        <f t="shared" si="207"/>
        <v>#NUM!</v>
      </c>
      <c r="G195" t="e">
        <f t="shared" si="208"/>
        <v>#NUM!</v>
      </c>
      <c r="H195" s="5" t="e">
        <f t="shared" si="209"/>
        <v>#NUM!</v>
      </c>
      <c r="I195" s="5" t="e">
        <f t="shared" si="210"/>
        <v>#NUM!</v>
      </c>
      <c r="J195" s="5">
        <v>188</v>
      </c>
      <c r="N195" s="10">
        <f t="shared" ref="N195" si="289">Q192</f>
        <v>1.8410970584500788</v>
      </c>
      <c r="O195">
        <f t="shared" si="201"/>
        <v>0</v>
      </c>
      <c r="P195">
        <f t="shared" ref="P195:P258" si="290">(O194-O196)/(N194-N196)</f>
        <v>4.225348534256625</v>
      </c>
      <c r="Q195" s="10">
        <f t="shared" ref="Q195" si="291">N195-O195/P195</f>
        <v>1.8410970584500788</v>
      </c>
      <c r="R195">
        <v>63</v>
      </c>
      <c r="S195">
        <f t="shared" ref="S195:S258" si="292">N195</f>
        <v>1.8410970584500788</v>
      </c>
    </row>
    <row r="196" spans="1:19" x14ac:dyDescent="0.2">
      <c r="A196" t="e">
        <f t="shared" si="202"/>
        <v>#NUM!</v>
      </c>
      <c r="B196" t="e">
        <f t="shared" si="203"/>
        <v>#NUM!</v>
      </c>
      <c r="C196" t="e">
        <f t="shared" si="204"/>
        <v>#NUM!</v>
      </c>
      <c r="D196" t="e">
        <f t="shared" si="205"/>
        <v>#NUM!</v>
      </c>
      <c r="E196" t="e">
        <f t="shared" si="206"/>
        <v>#NUM!</v>
      </c>
      <c r="F196" t="e">
        <f t="shared" si="207"/>
        <v>#NUM!</v>
      </c>
      <c r="G196" t="e">
        <f t="shared" si="208"/>
        <v>#NUM!</v>
      </c>
      <c r="H196" s="5" t="e">
        <f t="shared" si="209"/>
        <v>#NUM!</v>
      </c>
      <c r="I196" s="5" t="e">
        <f t="shared" si="210"/>
        <v>#NUM!</v>
      </c>
      <c r="J196" s="5">
        <v>189</v>
      </c>
      <c r="N196">
        <f t="shared" si="224"/>
        <v>1.8411070585500797</v>
      </c>
      <c r="O196">
        <f t="shared" si="201"/>
        <v>4.2253993131957657E-5</v>
      </c>
    </row>
    <row r="197" spans="1:19" x14ac:dyDescent="0.2">
      <c r="A197" t="e">
        <f t="shared" si="202"/>
        <v>#NUM!</v>
      </c>
      <c r="B197" t="e">
        <f t="shared" si="203"/>
        <v>#NUM!</v>
      </c>
      <c r="C197" t="e">
        <f t="shared" si="204"/>
        <v>#NUM!</v>
      </c>
      <c r="D197" t="e">
        <f t="shared" si="205"/>
        <v>#NUM!</v>
      </c>
      <c r="E197" t="e">
        <f t="shared" si="206"/>
        <v>#NUM!</v>
      </c>
      <c r="F197" t="e">
        <f t="shared" si="207"/>
        <v>#NUM!</v>
      </c>
      <c r="G197" t="e">
        <f t="shared" si="208"/>
        <v>#NUM!</v>
      </c>
      <c r="H197" s="5" t="e">
        <f t="shared" si="209"/>
        <v>#NUM!</v>
      </c>
      <c r="I197" s="5" t="e">
        <f t="shared" si="210"/>
        <v>#NUM!</v>
      </c>
      <c r="J197" s="5">
        <v>190</v>
      </c>
      <c r="N197">
        <f t="shared" si="219"/>
        <v>1.8410870583500778</v>
      </c>
      <c r="O197">
        <f t="shared" si="201"/>
        <v>-4.2253822631010962E-5</v>
      </c>
    </row>
    <row r="198" spans="1:19" x14ac:dyDescent="0.2">
      <c r="A198" t="e">
        <f t="shared" si="202"/>
        <v>#NUM!</v>
      </c>
      <c r="B198" t="e">
        <f t="shared" si="203"/>
        <v>#NUM!</v>
      </c>
      <c r="C198" t="e">
        <f t="shared" si="204"/>
        <v>#NUM!</v>
      </c>
      <c r="D198" t="e">
        <f t="shared" si="205"/>
        <v>#NUM!</v>
      </c>
      <c r="E198" t="e">
        <f t="shared" si="206"/>
        <v>#NUM!</v>
      </c>
      <c r="F198" t="e">
        <f t="shared" si="207"/>
        <v>#NUM!</v>
      </c>
      <c r="G198" t="e">
        <f t="shared" si="208"/>
        <v>#NUM!</v>
      </c>
      <c r="H198" s="5" t="e">
        <f t="shared" si="209"/>
        <v>#NUM!</v>
      </c>
      <c r="I198" s="5" t="e">
        <f t="shared" si="210"/>
        <v>#NUM!</v>
      </c>
      <c r="J198" s="5">
        <v>191</v>
      </c>
      <c r="N198" s="10">
        <f t="shared" ref="N198" si="293">Q195</f>
        <v>1.8410970584500788</v>
      </c>
      <c r="O198">
        <f t="shared" si="201"/>
        <v>0</v>
      </c>
      <c r="P198">
        <f t="shared" ref="P198:P261" si="294">(O197-O199)/(N197-N199)</f>
        <v>4.225348534256625</v>
      </c>
      <c r="Q198" s="10">
        <f t="shared" ref="Q198" si="295">N198-O198/P198</f>
        <v>1.8410970584500788</v>
      </c>
      <c r="R198">
        <v>64</v>
      </c>
      <c r="S198">
        <f t="shared" ref="S198:S261" si="296">N198</f>
        <v>1.8410970584500788</v>
      </c>
    </row>
    <row r="199" spans="1:19" x14ac:dyDescent="0.2">
      <c r="A199" t="e">
        <f t="shared" si="202"/>
        <v>#NUM!</v>
      </c>
      <c r="B199" t="e">
        <f t="shared" si="203"/>
        <v>#NUM!</v>
      </c>
      <c r="C199" t="e">
        <f t="shared" si="204"/>
        <v>#NUM!</v>
      </c>
      <c r="D199" t="e">
        <f t="shared" si="205"/>
        <v>#NUM!</v>
      </c>
      <c r="E199" t="e">
        <f t="shared" si="206"/>
        <v>#NUM!</v>
      </c>
      <c r="F199" t="e">
        <f t="shared" si="207"/>
        <v>#NUM!</v>
      </c>
      <c r="G199" t="e">
        <f t="shared" si="208"/>
        <v>#NUM!</v>
      </c>
      <c r="H199" s="5" t="e">
        <f t="shared" si="209"/>
        <v>#NUM!</v>
      </c>
      <c r="I199" s="5" t="e">
        <f t="shared" si="210"/>
        <v>#NUM!</v>
      </c>
      <c r="J199" s="5">
        <v>192</v>
      </c>
      <c r="N199">
        <f t="shared" si="224"/>
        <v>1.8411070585500797</v>
      </c>
      <c r="O199">
        <f t="shared" si="201"/>
        <v>4.2253993131957657E-5</v>
      </c>
    </row>
    <row r="200" spans="1:19" x14ac:dyDescent="0.2">
      <c r="A200" t="e">
        <f t="shared" si="202"/>
        <v>#NUM!</v>
      </c>
      <c r="B200" t="e">
        <f t="shared" si="203"/>
        <v>#NUM!</v>
      </c>
      <c r="C200" t="e">
        <f t="shared" si="204"/>
        <v>#NUM!</v>
      </c>
      <c r="D200" t="e">
        <f t="shared" si="205"/>
        <v>#NUM!</v>
      </c>
      <c r="E200" t="e">
        <f t="shared" si="206"/>
        <v>#NUM!</v>
      </c>
      <c r="F200" t="e">
        <f t="shared" si="207"/>
        <v>#NUM!</v>
      </c>
      <c r="G200" t="e">
        <f t="shared" si="208"/>
        <v>#NUM!</v>
      </c>
      <c r="H200" s="5" t="e">
        <f t="shared" si="209"/>
        <v>#NUM!</v>
      </c>
      <c r="I200" s="5" t="e">
        <f t="shared" si="210"/>
        <v>#NUM!</v>
      </c>
      <c r="J200" s="5">
        <v>193</v>
      </c>
      <c r="N200">
        <f t="shared" si="219"/>
        <v>1.8410870583500778</v>
      </c>
      <c r="O200">
        <f t="shared" ref="O200:O263" si="297">N200*N200+LN(N200)-4</f>
        <v>-4.2253822631010962E-5</v>
      </c>
    </row>
    <row r="201" spans="1:19" x14ac:dyDescent="0.2">
      <c r="A201" t="e">
        <f t="shared" si="202"/>
        <v>#NUM!</v>
      </c>
      <c r="B201" t="e">
        <f t="shared" si="203"/>
        <v>#NUM!</v>
      </c>
      <c r="C201" t="e">
        <f t="shared" si="204"/>
        <v>#NUM!</v>
      </c>
      <c r="D201" t="e">
        <f t="shared" si="205"/>
        <v>#NUM!</v>
      </c>
      <c r="E201" t="e">
        <f t="shared" si="206"/>
        <v>#NUM!</v>
      </c>
      <c r="F201" t="e">
        <f t="shared" si="207"/>
        <v>#NUM!</v>
      </c>
      <c r="G201" t="e">
        <f t="shared" si="208"/>
        <v>#NUM!</v>
      </c>
      <c r="H201" s="5" t="e">
        <f t="shared" si="209"/>
        <v>#NUM!</v>
      </c>
      <c r="I201" s="5" t="e">
        <f t="shared" si="210"/>
        <v>#NUM!</v>
      </c>
      <c r="J201" s="5">
        <v>194</v>
      </c>
      <c r="N201" s="10">
        <f t="shared" ref="N201" si="298">Q198</f>
        <v>1.8410970584500788</v>
      </c>
      <c r="O201">
        <f t="shared" si="297"/>
        <v>0</v>
      </c>
      <c r="P201">
        <f t="shared" ref="P201:P264" si="299">(O200-O202)/(N200-N202)</f>
        <v>4.225348534256625</v>
      </c>
      <c r="Q201" s="10">
        <f t="shared" ref="Q201" si="300">N201-O201/P201</f>
        <v>1.8410970584500788</v>
      </c>
      <c r="R201">
        <v>65</v>
      </c>
      <c r="S201">
        <f t="shared" ref="S201:S264" si="301">N201</f>
        <v>1.8410970584500788</v>
      </c>
    </row>
    <row r="202" spans="1:19" x14ac:dyDescent="0.2">
      <c r="A202" t="e">
        <f t="shared" ref="A202:A265" si="302">IF(B201*F201&lt;0, MIN(A201,E201), IF(D201*F201&lt;0, MIN(C201,E201)))</f>
        <v>#NUM!</v>
      </c>
      <c r="B202" t="e">
        <f t="shared" ref="B202:B265" si="303">A202*A202+LN(A202)-4</f>
        <v>#NUM!</v>
      </c>
      <c r="C202" t="e">
        <f t="shared" ref="C202:C265" si="304">IF(B201*F201&lt;0, MAX(A201,E201), IF(D201*F201&lt;0, MAX(C201,E201)))</f>
        <v>#NUM!</v>
      </c>
      <c r="D202" t="e">
        <f t="shared" ref="D202:D265" si="305">C202*C202+LN(C202)-4</f>
        <v>#NUM!</v>
      </c>
      <c r="E202" t="e">
        <f t="shared" ref="E202:E265" si="306">(A202+C202)/2</f>
        <v>#NUM!</v>
      </c>
      <c r="F202" t="e">
        <f t="shared" ref="F202:F265" si="307">E202*E202+LN(E202)-4</f>
        <v>#NUM!</v>
      </c>
      <c r="G202" t="e">
        <f t="shared" ref="G202:G265" si="308">ABS(A202-C202)</f>
        <v>#NUM!</v>
      </c>
      <c r="H202" s="5" t="e">
        <f t="shared" ref="H202:H265" si="309">IF(A202=FALSE(), 999, F202)</f>
        <v>#NUM!</v>
      </c>
      <c r="I202" s="5" t="e">
        <f t="shared" ref="I202:I265" si="310">E202</f>
        <v>#NUM!</v>
      </c>
      <c r="J202" s="5">
        <v>195</v>
      </c>
      <c r="N202">
        <f t="shared" si="224"/>
        <v>1.8411070585500797</v>
      </c>
      <c r="O202">
        <f t="shared" si="297"/>
        <v>4.2253993131957657E-5</v>
      </c>
    </row>
    <row r="203" spans="1:19" x14ac:dyDescent="0.2">
      <c r="A203" t="e">
        <f t="shared" si="302"/>
        <v>#NUM!</v>
      </c>
      <c r="B203" t="e">
        <f t="shared" si="303"/>
        <v>#NUM!</v>
      </c>
      <c r="C203" t="e">
        <f t="shared" si="304"/>
        <v>#NUM!</v>
      </c>
      <c r="D203" t="e">
        <f t="shared" si="305"/>
        <v>#NUM!</v>
      </c>
      <c r="E203" t="e">
        <f t="shared" si="306"/>
        <v>#NUM!</v>
      </c>
      <c r="F203" t="e">
        <f t="shared" si="307"/>
        <v>#NUM!</v>
      </c>
      <c r="G203" t="e">
        <f t="shared" si="308"/>
        <v>#NUM!</v>
      </c>
      <c r="H203" s="5" t="e">
        <f t="shared" si="309"/>
        <v>#NUM!</v>
      </c>
      <c r="I203" s="5" t="e">
        <f t="shared" si="310"/>
        <v>#NUM!</v>
      </c>
      <c r="J203" s="5">
        <v>196</v>
      </c>
      <c r="N203">
        <f t="shared" si="219"/>
        <v>1.8410870583500778</v>
      </c>
      <c r="O203">
        <f t="shared" si="297"/>
        <v>-4.2253822631010962E-5</v>
      </c>
    </row>
    <row r="204" spans="1:19" x14ac:dyDescent="0.2">
      <c r="A204" t="e">
        <f t="shared" si="302"/>
        <v>#NUM!</v>
      </c>
      <c r="B204" t="e">
        <f t="shared" si="303"/>
        <v>#NUM!</v>
      </c>
      <c r="C204" t="e">
        <f t="shared" si="304"/>
        <v>#NUM!</v>
      </c>
      <c r="D204" t="e">
        <f t="shared" si="305"/>
        <v>#NUM!</v>
      </c>
      <c r="E204" t="e">
        <f t="shared" si="306"/>
        <v>#NUM!</v>
      </c>
      <c r="F204" t="e">
        <f t="shared" si="307"/>
        <v>#NUM!</v>
      </c>
      <c r="G204" t="e">
        <f t="shared" si="308"/>
        <v>#NUM!</v>
      </c>
      <c r="H204" s="5" t="e">
        <f t="shared" si="309"/>
        <v>#NUM!</v>
      </c>
      <c r="I204" s="5" t="e">
        <f t="shared" si="310"/>
        <v>#NUM!</v>
      </c>
      <c r="J204" s="5">
        <v>197</v>
      </c>
      <c r="N204" s="10">
        <f t="shared" ref="N204" si="311">Q201</f>
        <v>1.8410970584500788</v>
      </c>
      <c r="O204">
        <f t="shared" si="297"/>
        <v>0</v>
      </c>
      <c r="P204">
        <f t="shared" ref="P204:P267" si="312">(O203-O205)/(N203-N205)</f>
        <v>4.225348534256625</v>
      </c>
      <c r="Q204" s="10">
        <f t="shared" ref="Q204" si="313">N204-O204/P204</f>
        <v>1.8410970584500788</v>
      </c>
      <c r="R204">
        <v>66</v>
      </c>
      <c r="S204">
        <f t="shared" ref="S204:S267" si="314">N204</f>
        <v>1.8410970584500788</v>
      </c>
    </row>
    <row r="205" spans="1:19" x14ac:dyDescent="0.2">
      <c r="A205" t="e">
        <f t="shared" si="302"/>
        <v>#NUM!</v>
      </c>
      <c r="B205" t="e">
        <f t="shared" si="303"/>
        <v>#NUM!</v>
      </c>
      <c r="C205" t="e">
        <f t="shared" si="304"/>
        <v>#NUM!</v>
      </c>
      <c r="D205" t="e">
        <f t="shared" si="305"/>
        <v>#NUM!</v>
      </c>
      <c r="E205" t="e">
        <f t="shared" si="306"/>
        <v>#NUM!</v>
      </c>
      <c r="F205" t="e">
        <f t="shared" si="307"/>
        <v>#NUM!</v>
      </c>
      <c r="G205" t="e">
        <f t="shared" si="308"/>
        <v>#NUM!</v>
      </c>
      <c r="H205" s="5" t="e">
        <f t="shared" si="309"/>
        <v>#NUM!</v>
      </c>
      <c r="I205" s="5" t="e">
        <f t="shared" si="310"/>
        <v>#NUM!</v>
      </c>
      <c r="J205" s="5">
        <v>198</v>
      </c>
      <c r="N205">
        <f t="shared" si="224"/>
        <v>1.8411070585500797</v>
      </c>
      <c r="O205">
        <f t="shared" si="297"/>
        <v>4.2253993131957657E-5</v>
      </c>
    </row>
    <row r="206" spans="1:19" x14ac:dyDescent="0.2">
      <c r="A206" t="e">
        <f t="shared" si="302"/>
        <v>#NUM!</v>
      </c>
      <c r="B206" t="e">
        <f t="shared" si="303"/>
        <v>#NUM!</v>
      </c>
      <c r="C206" t="e">
        <f t="shared" si="304"/>
        <v>#NUM!</v>
      </c>
      <c r="D206" t="e">
        <f t="shared" si="305"/>
        <v>#NUM!</v>
      </c>
      <c r="E206" t="e">
        <f t="shared" si="306"/>
        <v>#NUM!</v>
      </c>
      <c r="F206" t="e">
        <f t="shared" si="307"/>
        <v>#NUM!</v>
      </c>
      <c r="G206" t="e">
        <f t="shared" si="308"/>
        <v>#NUM!</v>
      </c>
      <c r="H206" s="5" t="e">
        <f t="shared" si="309"/>
        <v>#NUM!</v>
      </c>
      <c r="I206" s="5" t="e">
        <f t="shared" si="310"/>
        <v>#NUM!</v>
      </c>
      <c r="J206" s="5">
        <v>199</v>
      </c>
      <c r="N206">
        <f t="shared" si="219"/>
        <v>1.8410870583500778</v>
      </c>
      <c r="O206">
        <f t="shared" si="297"/>
        <v>-4.2253822631010962E-5</v>
      </c>
    </row>
    <row r="207" spans="1:19" x14ac:dyDescent="0.2">
      <c r="A207" t="e">
        <f t="shared" si="302"/>
        <v>#NUM!</v>
      </c>
      <c r="B207" t="e">
        <f t="shared" si="303"/>
        <v>#NUM!</v>
      </c>
      <c r="C207" t="e">
        <f t="shared" si="304"/>
        <v>#NUM!</v>
      </c>
      <c r="D207" t="e">
        <f t="shared" si="305"/>
        <v>#NUM!</v>
      </c>
      <c r="E207" t="e">
        <f t="shared" si="306"/>
        <v>#NUM!</v>
      </c>
      <c r="F207" t="e">
        <f t="shared" si="307"/>
        <v>#NUM!</v>
      </c>
      <c r="G207" t="e">
        <f t="shared" si="308"/>
        <v>#NUM!</v>
      </c>
      <c r="H207" s="5" t="e">
        <f t="shared" si="309"/>
        <v>#NUM!</v>
      </c>
      <c r="I207" s="5" t="e">
        <f t="shared" si="310"/>
        <v>#NUM!</v>
      </c>
      <c r="J207" s="5">
        <v>200</v>
      </c>
      <c r="N207" s="10">
        <f t="shared" ref="N207" si="315">Q204</f>
        <v>1.8410970584500788</v>
      </c>
      <c r="O207">
        <f t="shared" si="297"/>
        <v>0</v>
      </c>
      <c r="P207">
        <f t="shared" ref="P207:P270" si="316">(O206-O208)/(N206-N208)</f>
        <v>4.225348534256625</v>
      </c>
      <c r="Q207" s="10">
        <f t="shared" ref="Q207" si="317">N207-O207/P207</f>
        <v>1.8410970584500788</v>
      </c>
      <c r="R207">
        <v>67</v>
      </c>
      <c r="S207">
        <f t="shared" ref="S207:S270" si="318">N207</f>
        <v>1.8410970584500788</v>
      </c>
    </row>
    <row r="208" spans="1:19" x14ac:dyDescent="0.2">
      <c r="A208" t="e">
        <f t="shared" si="302"/>
        <v>#NUM!</v>
      </c>
      <c r="B208" t="e">
        <f t="shared" si="303"/>
        <v>#NUM!</v>
      </c>
      <c r="C208" t="e">
        <f t="shared" si="304"/>
        <v>#NUM!</v>
      </c>
      <c r="D208" t="e">
        <f t="shared" si="305"/>
        <v>#NUM!</v>
      </c>
      <c r="E208" t="e">
        <f t="shared" si="306"/>
        <v>#NUM!</v>
      </c>
      <c r="F208" t="e">
        <f t="shared" si="307"/>
        <v>#NUM!</v>
      </c>
      <c r="G208" t="e">
        <f t="shared" si="308"/>
        <v>#NUM!</v>
      </c>
      <c r="H208" s="5" t="e">
        <f t="shared" si="309"/>
        <v>#NUM!</v>
      </c>
      <c r="I208" s="5" t="e">
        <f t="shared" si="310"/>
        <v>#NUM!</v>
      </c>
      <c r="J208" s="5">
        <v>201</v>
      </c>
      <c r="N208">
        <f t="shared" si="224"/>
        <v>1.8411070585500797</v>
      </c>
      <c r="O208">
        <f t="shared" si="297"/>
        <v>4.2253993131957657E-5</v>
      </c>
    </row>
    <row r="209" spans="1:19" x14ac:dyDescent="0.2">
      <c r="A209" t="e">
        <f t="shared" si="302"/>
        <v>#NUM!</v>
      </c>
      <c r="B209" t="e">
        <f t="shared" si="303"/>
        <v>#NUM!</v>
      </c>
      <c r="C209" t="e">
        <f t="shared" si="304"/>
        <v>#NUM!</v>
      </c>
      <c r="D209" t="e">
        <f t="shared" si="305"/>
        <v>#NUM!</v>
      </c>
      <c r="E209" t="e">
        <f t="shared" si="306"/>
        <v>#NUM!</v>
      </c>
      <c r="F209" t="e">
        <f t="shared" si="307"/>
        <v>#NUM!</v>
      </c>
      <c r="G209" t="e">
        <f t="shared" si="308"/>
        <v>#NUM!</v>
      </c>
      <c r="H209" s="5" t="e">
        <f t="shared" si="309"/>
        <v>#NUM!</v>
      </c>
      <c r="I209" s="5" t="e">
        <f t="shared" si="310"/>
        <v>#NUM!</v>
      </c>
      <c r="J209" s="5">
        <v>202</v>
      </c>
      <c r="N209">
        <f t="shared" ref="N209:N272" si="319">N210-1/99999</f>
        <v>1.8410870583500778</v>
      </c>
      <c r="O209">
        <f t="shared" si="297"/>
        <v>-4.2253822631010962E-5</v>
      </c>
    </row>
    <row r="210" spans="1:19" x14ac:dyDescent="0.2">
      <c r="A210" t="e">
        <f t="shared" si="302"/>
        <v>#NUM!</v>
      </c>
      <c r="B210" t="e">
        <f t="shared" si="303"/>
        <v>#NUM!</v>
      </c>
      <c r="C210" t="e">
        <f t="shared" si="304"/>
        <v>#NUM!</v>
      </c>
      <c r="D210" t="e">
        <f t="shared" si="305"/>
        <v>#NUM!</v>
      </c>
      <c r="E210" t="e">
        <f t="shared" si="306"/>
        <v>#NUM!</v>
      </c>
      <c r="F210" t="e">
        <f t="shared" si="307"/>
        <v>#NUM!</v>
      </c>
      <c r="G210" t="e">
        <f t="shared" si="308"/>
        <v>#NUM!</v>
      </c>
      <c r="H210" s="5" t="e">
        <f t="shared" si="309"/>
        <v>#NUM!</v>
      </c>
      <c r="I210" s="5" t="e">
        <f t="shared" si="310"/>
        <v>#NUM!</v>
      </c>
      <c r="J210" s="5">
        <v>203</v>
      </c>
      <c r="N210" s="10">
        <f t="shared" ref="N210" si="320">Q207</f>
        <v>1.8410970584500788</v>
      </c>
      <c r="O210">
        <f t="shared" si="297"/>
        <v>0</v>
      </c>
      <c r="P210">
        <f t="shared" ref="P210:P273" si="321">(O209-O211)/(N209-N211)</f>
        <v>4.225348534256625</v>
      </c>
      <c r="Q210" s="10">
        <f t="shared" ref="Q210" si="322">N210-O210/P210</f>
        <v>1.8410970584500788</v>
      </c>
      <c r="R210">
        <v>68</v>
      </c>
      <c r="S210">
        <f t="shared" ref="S210:S273" si="323">N210</f>
        <v>1.8410970584500788</v>
      </c>
    </row>
    <row r="211" spans="1:19" x14ac:dyDescent="0.2">
      <c r="A211" t="e">
        <f t="shared" si="302"/>
        <v>#NUM!</v>
      </c>
      <c r="B211" t="e">
        <f t="shared" si="303"/>
        <v>#NUM!</v>
      </c>
      <c r="C211" t="e">
        <f t="shared" si="304"/>
        <v>#NUM!</v>
      </c>
      <c r="D211" t="e">
        <f t="shared" si="305"/>
        <v>#NUM!</v>
      </c>
      <c r="E211" t="e">
        <f t="shared" si="306"/>
        <v>#NUM!</v>
      </c>
      <c r="F211" t="e">
        <f t="shared" si="307"/>
        <v>#NUM!</v>
      </c>
      <c r="G211" t="e">
        <f t="shared" si="308"/>
        <v>#NUM!</v>
      </c>
      <c r="H211" s="5" t="e">
        <f t="shared" si="309"/>
        <v>#NUM!</v>
      </c>
      <c r="I211" s="5" t="e">
        <f t="shared" si="310"/>
        <v>#NUM!</v>
      </c>
      <c r="J211" s="5">
        <v>204</v>
      </c>
      <c r="N211">
        <f t="shared" ref="N211:N274" si="324">N210+1/99999</f>
        <v>1.8411070585500797</v>
      </c>
      <c r="O211">
        <f t="shared" si="297"/>
        <v>4.2253993131957657E-5</v>
      </c>
    </row>
    <row r="212" spans="1:19" x14ac:dyDescent="0.2">
      <c r="A212" t="e">
        <f t="shared" si="302"/>
        <v>#NUM!</v>
      </c>
      <c r="B212" t="e">
        <f t="shared" si="303"/>
        <v>#NUM!</v>
      </c>
      <c r="C212" t="e">
        <f t="shared" si="304"/>
        <v>#NUM!</v>
      </c>
      <c r="D212" t="e">
        <f t="shared" si="305"/>
        <v>#NUM!</v>
      </c>
      <c r="E212" t="e">
        <f t="shared" si="306"/>
        <v>#NUM!</v>
      </c>
      <c r="F212" t="e">
        <f t="shared" si="307"/>
        <v>#NUM!</v>
      </c>
      <c r="G212" t="e">
        <f t="shared" si="308"/>
        <v>#NUM!</v>
      </c>
      <c r="H212" s="5" t="e">
        <f t="shared" si="309"/>
        <v>#NUM!</v>
      </c>
      <c r="I212" s="5" t="e">
        <f t="shared" si="310"/>
        <v>#NUM!</v>
      </c>
      <c r="J212" s="5">
        <v>205</v>
      </c>
      <c r="N212">
        <f t="shared" si="319"/>
        <v>1.8410870583500778</v>
      </c>
      <c r="O212">
        <f t="shared" si="297"/>
        <v>-4.2253822631010962E-5</v>
      </c>
    </row>
    <row r="213" spans="1:19" x14ac:dyDescent="0.2">
      <c r="A213" t="e">
        <f t="shared" si="302"/>
        <v>#NUM!</v>
      </c>
      <c r="B213" t="e">
        <f t="shared" si="303"/>
        <v>#NUM!</v>
      </c>
      <c r="C213" t="e">
        <f t="shared" si="304"/>
        <v>#NUM!</v>
      </c>
      <c r="D213" t="e">
        <f t="shared" si="305"/>
        <v>#NUM!</v>
      </c>
      <c r="E213" t="e">
        <f t="shared" si="306"/>
        <v>#NUM!</v>
      </c>
      <c r="F213" t="e">
        <f t="shared" si="307"/>
        <v>#NUM!</v>
      </c>
      <c r="G213" t="e">
        <f t="shared" si="308"/>
        <v>#NUM!</v>
      </c>
      <c r="H213" s="5" t="e">
        <f t="shared" si="309"/>
        <v>#NUM!</v>
      </c>
      <c r="I213" s="5" t="e">
        <f t="shared" si="310"/>
        <v>#NUM!</v>
      </c>
      <c r="J213" s="5">
        <v>206</v>
      </c>
      <c r="N213" s="10">
        <f t="shared" ref="N213" si="325">Q210</f>
        <v>1.8410970584500788</v>
      </c>
      <c r="O213">
        <f t="shared" si="297"/>
        <v>0</v>
      </c>
      <c r="P213">
        <f t="shared" ref="P213:P276" si="326">(O212-O214)/(N212-N214)</f>
        <v>4.225348534256625</v>
      </c>
      <c r="Q213" s="10">
        <f t="shared" ref="Q213" si="327">N213-O213/P213</f>
        <v>1.8410970584500788</v>
      </c>
      <c r="R213">
        <v>69</v>
      </c>
      <c r="S213">
        <f t="shared" ref="S213:S276" si="328">N213</f>
        <v>1.8410970584500788</v>
      </c>
    </row>
    <row r="214" spans="1:19" x14ac:dyDescent="0.2">
      <c r="A214" t="e">
        <f t="shared" si="302"/>
        <v>#NUM!</v>
      </c>
      <c r="B214" t="e">
        <f t="shared" si="303"/>
        <v>#NUM!</v>
      </c>
      <c r="C214" t="e">
        <f t="shared" si="304"/>
        <v>#NUM!</v>
      </c>
      <c r="D214" t="e">
        <f t="shared" si="305"/>
        <v>#NUM!</v>
      </c>
      <c r="E214" t="e">
        <f t="shared" si="306"/>
        <v>#NUM!</v>
      </c>
      <c r="F214" t="e">
        <f t="shared" si="307"/>
        <v>#NUM!</v>
      </c>
      <c r="G214" t="e">
        <f t="shared" si="308"/>
        <v>#NUM!</v>
      </c>
      <c r="H214" s="5" t="e">
        <f t="shared" si="309"/>
        <v>#NUM!</v>
      </c>
      <c r="I214" s="5" t="e">
        <f t="shared" si="310"/>
        <v>#NUM!</v>
      </c>
      <c r="J214" s="5">
        <v>207</v>
      </c>
      <c r="N214">
        <f t="shared" si="324"/>
        <v>1.8411070585500797</v>
      </c>
      <c r="O214">
        <f t="shared" si="297"/>
        <v>4.2253993131957657E-5</v>
      </c>
    </row>
    <row r="215" spans="1:19" x14ac:dyDescent="0.2">
      <c r="A215" t="e">
        <f t="shared" si="302"/>
        <v>#NUM!</v>
      </c>
      <c r="B215" t="e">
        <f t="shared" si="303"/>
        <v>#NUM!</v>
      </c>
      <c r="C215" t="e">
        <f t="shared" si="304"/>
        <v>#NUM!</v>
      </c>
      <c r="D215" t="e">
        <f t="shared" si="305"/>
        <v>#NUM!</v>
      </c>
      <c r="E215" t="e">
        <f t="shared" si="306"/>
        <v>#NUM!</v>
      </c>
      <c r="F215" t="e">
        <f t="shared" si="307"/>
        <v>#NUM!</v>
      </c>
      <c r="G215" t="e">
        <f t="shared" si="308"/>
        <v>#NUM!</v>
      </c>
      <c r="H215" s="5" t="e">
        <f t="shared" si="309"/>
        <v>#NUM!</v>
      </c>
      <c r="I215" s="5" t="e">
        <f t="shared" si="310"/>
        <v>#NUM!</v>
      </c>
      <c r="J215" s="5">
        <v>208</v>
      </c>
      <c r="N215">
        <f t="shared" si="319"/>
        <v>1.8410870583500778</v>
      </c>
      <c r="O215">
        <f t="shared" si="297"/>
        <v>-4.2253822631010962E-5</v>
      </c>
    </row>
    <row r="216" spans="1:19" x14ac:dyDescent="0.2">
      <c r="A216" t="e">
        <f t="shared" si="302"/>
        <v>#NUM!</v>
      </c>
      <c r="B216" t="e">
        <f t="shared" si="303"/>
        <v>#NUM!</v>
      </c>
      <c r="C216" t="e">
        <f t="shared" si="304"/>
        <v>#NUM!</v>
      </c>
      <c r="D216" t="e">
        <f t="shared" si="305"/>
        <v>#NUM!</v>
      </c>
      <c r="E216" t="e">
        <f t="shared" si="306"/>
        <v>#NUM!</v>
      </c>
      <c r="F216" t="e">
        <f t="shared" si="307"/>
        <v>#NUM!</v>
      </c>
      <c r="G216" t="e">
        <f t="shared" si="308"/>
        <v>#NUM!</v>
      </c>
      <c r="H216" s="5" t="e">
        <f t="shared" si="309"/>
        <v>#NUM!</v>
      </c>
      <c r="I216" s="5" t="e">
        <f t="shared" si="310"/>
        <v>#NUM!</v>
      </c>
      <c r="J216" s="5">
        <v>209</v>
      </c>
      <c r="N216" s="10">
        <f t="shared" ref="N216" si="329">Q213</f>
        <v>1.8410970584500788</v>
      </c>
      <c r="O216">
        <f t="shared" si="297"/>
        <v>0</v>
      </c>
      <c r="P216">
        <f t="shared" ref="P216:P279" si="330">(O215-O217)/(N215-N217)</f>
        <v>4.225348534256625</v>
      </c>
      <c r="Q216" s="10">
        <f t="shared" ref="Q216" si="331">N216-O216/P216</f>
        <v>1.8410970584500788</v>
      </c>
      <c r="R216">
        <v>70</v>
      </c>
      <c r="S216">
        <f t="shared" ref="S216:S279" si="332">N216</f>
        <v>1.8410970584500788</v>
      </c>
    </row>
    <row r="217" spans="1:19" x14ac:dyDescent="0.2">
      <c r="A217" t="e">
        <f t="shared" si="302"/>
        <v>#NUM!</v>
      </c>
      <c r="B217" t="e">
        <f t="shared" si="303"/>
        <v>#NUM!</v>
      </c>
      <c r="C217" t="e">
        <f t="shared" si="304"/>
        <v>#NUM!</v>
      </c>
      <c r="D217" t="e">
        <f t="shared" si="305"/>
        <v>#NUM!</v>
      </c>
      <c r="E217" t="e">
        <f t="shared" si="306"/>
        <v>#NUM!</v>
      </c>
      <c r="F217" t="e">
        <f t="shared" si="307"/>
        <v>#NUM!</v>
      </c>
      <c r="G217" t="e">
        <f t="shared" si="308"/>
        <v>#NUM!</v>
      </c>
      <c r="H217" s="5" t="e">
        <f t="shared" si="309"/>
        <v>#NUM!</v>
      </c>
      <c r="I217" s="5" t="e">
        <f t="shared" si="310"/>
        <v>#NUM!</v>
      </c>
      <c r="J217" s="5">
        <v>210</v>
      </c>
      <c r="N217">
        <f t="shared" si="324"/>
        <v>1.8411070585500797</v>
      </c>
      <c r="O217">
        <f t="shared" si="297"/>
        <v>4.2253993131957657E-5</v>
      </c>
    </row>
    <row r="218" spans="1:19" x14ac:dyDescent="0.2">
      <c r="A218" t="e">
        <f t="shared" si="302"/>
        <v>#NUM!</v>
      </c>
      <c r="B218" t="e">
        <f t="shared" si="303"/>
        <v>#NUM!</v>
      </c>
      <c r="C218" t="e">
        <f t="shared" si="304"/>
        <v>#NUM!</v>
      </c>
      <c r="D218" t="e">
        <f t="shared" si="305"/>
        <v>#NUM!</v>
      </c>
      <c r="E218" t="e">
        <f t="shared" si="306"/>
        <v>#NUM!</v>
      </c>
      <c r="F218" t="e">
        <f t="shared" si="307"/>
        <v>#NUM!</v>
      </c>
      <c r="G218" t="e">
        <f t="shared" si="308"/>
        <v>#NUM!</v>
      </c>
      <c r="H218" s="5" t="e">
        <f t="shared" si="309"/>
        <v>#NUM!</v>
      </c>
      <c r="I218" s="5" t="e">
        <f t="shared" si="310"/>
        <v>#NUM!</v>
      </c>
      <c r="J218" s="5">
        <v>211</v>
      </c>
      <c r="N218">
        <f t="shared" si="319"/>
        <v>1.8410870583500778</v>
      </c>
      <c r="O218">
        <f t="shared" si="297"/>
        <v>-4.2253822631010962E-5</v>
      </c>
    </row>
    <row r="219" spans="1:19" x14ac:dyDescent="0.2">
      <c r="A219" t="e">
        <f t="shared" si="302"/>
        <v>#NUM!</v>
      </c>
      <c r="B219" t="e">
        <f t="shared" si="303"/>
        <v>#NUM!</v>
      </c>
      <c r="C219" t="e">
        <f t="shared" si="304"/>
        <v>#NUM!</v>
      </c>
      <c r="D219" t="e">
        <f t="shared" si="305"/>
        <v>#NUM!</v>
      </c>
      <c r="E219" t="e">
        <f t="shared" si="306"/>
        <v>#NUM!</v>
      </c>
      <c r="F219" t="e">
        <f t="shared" si="307"/>
        <v>#NUM!</v>
      </c>
      <c r="G219" t="e">
        <f t="shared" si="308"/>
        <v>#NUM!</v>
      </c>
      <c r="H219" s="5" t="e">
        <f t="shared" si="309"/>
        <v>#NUM!</v>
      </c>
      <c r="I219" s="5" t="e">
        <f t="shared" si="310"/>
        <v>#NUM!</v>
      </c>
      <c r="J219" s="5">
        <v>212</v>
      </c>
      <c r="N219" s="10">
        <f t="shared" ref="N219" si="333">Q216</f>
        <v>1.8410970584500788</v>
      </c>
      <c r="O219">
        <f t="shared" si="297"/>
        <v>0</v>
      </c>
      <c r="P219">
        <f t="shared" ref="P219:P282" si="334">(O218-O220)/(N218-N220)</f>
        <v>4.225348534256625</v>
      </c>
      <c r="Q219" s="10">
        <f t="shared" ref="Q219" si="335">N219-O219/P219</f>
        <v>1.8410970584500788</v>
      </c>
      <c r="R219">
        <v>71</v>
      </c>
      <c r="S219">
        <f t="shared" ref="S219:S282" si="336">N219</f>
        <v>1.8410970584500788</v>
      </c>
    </row>
    <row r="220" spans="1:19" x14ac:dyDescent="0.2">
      <c r="A220" t="e">
        <f t="shared" si="302"/>
        <v>#NUM!</v>
      </c>
      <c r="B220" t="e">
        <f t="shared" si="303"/>
        <v>#NUM!</v>
      </c>
      <c r="C220" t="e">
        <f t="shared" si="304"/>
        <v>#NUM!</v>
      </c>
      <c r="D220" t="e">
        <f t="shared" si="305"/>
        <v>#NUM!</v>
      </c>
      <c r="E220" t="e">
        <f t="shared" si="306"/>
        <v>#NUM!</v>
      </c>
      <c r="F220" t="e">
        <f t="shared" si="307"/>
        <v>#NUM!</v>
      </c>
      <c r="G220" t="e">
        <f t="shared" si="308"/>
        <v>#NUM!</v>
      </c>
      <c r="H220" s="5" t="e">
        <f t="shared" si="309"/>
        <v>#NUM!</v>
      </c>
      <c r="I220" s="5" t="e">
        <f t="shared" si="310"/>
        <v>#NUM!</v>
      </c>
      <c r="J220" s="5">
        <v>213</v>
      </c>
      <c r="N220">
        <f t="shared" si="324"/>
        <v>1.8411070585500797</v>
      </c>
      <c r="O220">
        <f t="shared" si="297"/>
        <v>4.2253993131957657E-5</v>
      </c>
    </row>
    <row r="221" spans="1:19" x14ac:dyDescent="0.2">
      <c r="A221" t="e">
        <f t="shared" si="302"/>
        <v>#NUM!</v>
      </c>
      <c r="B221" t="e">
        <f t="shared" si="303"/>
        <v>#NUM!</v>
      </c>
      <c r="C221" t="e">
        <f t="shared" si="304"/>
        <v>#NUM!</v>
      </c>
      <c r="D221" t="e">
        <f t="shared" si="305"/>
        <v>#NUM!</v>
      </c>
      <c r="E221" t="e">
        <f t="shared" si="306"/>
        <v>#NUM!</v>
      </c>
      <c r="F221" t="e">
        <f t="shared" si="307"/>
        <v>#NUM!</v>
      </c>
      <c r="G221" t="e">
        <f t="shared" si="308"/>
        <v>#NUM!</v>
      </c>
      <c r="H221" s="5" t="e">
        <f t="shared" si="309"/>
        <v>#NUM!</v>
      </c>
      <c r="I221" s="5" t="e">
        <f t="shared" si="310"/>
        <v>#NUM!</v>
      </c>
      <c r="J221" s="5">
        <v>214</v>
      </c>
      <c r="N221">
        <f t="shared" si="319"/>
        <v>1.8410870583500778</v>
      </c>
      <c r="O221">
        <f t="shared" si="297"/>
        <v>-4.2253822631010962E-5</v>
      </c>
    </row>
    <row r="222" spans="1:19" x14ac:dyDescent="0.2">
      <c r="A222" t="e">
        <f t="shared" si="302"/>
        <v>#NUM!</v>
      </c>
      <c r="B222" t="e">
        <f t="shared" si="303"/>
        <v>#NUM!</v>
      </c>
      <c r="C222" t="e">
        <f t="shared" si="304"/>
        <v>#NUM!</v>
      </c>
      <c r="D222" t="e">
        <f t="shared" si="305"/>
        <v>#NUM!</v>
      </c>
      <c r="E222" t="e">
        <f t="shared" si="306"/>
        <v>#NUM!</v>
      </c>
      <c r="F222" t="e">
        <f t="shared" si="307"/>
        <v>#NUM!</v>
      </c>
      <c r="G222" t="e">
        <f t="shared" si="308"/>
        <v>#NUM!</v>
      </c>
      <c r="H222" s="5" t="e">
        <f t="shared" si="309"/>
        <v>#NUM!</v>
      </c>
      <c r="I222" s="5" t="e">
        <f t="shared" si="310"/>
        <v>#NUM!</v>
      </c>
      <c r="J222" s="5">
        <v>215</v>
      </c>
      <c r="N222" s="10">
        <f t="shared" ref="N222" si="337">Q219</f>
        <v>1.8410970584500788</v>
      </c>
      <c r="O222">
        <f t="shared" si="297"/>
        <v>0</v>
      </c>
      <c r="P222">
        <f t="shared" ref="P222:P285" si="338">(O221-O223)/(N221-N223)</f>
        <v>4.225348534256625</v>
      </c>
      <c r="Q222" s="10">
        <f t="shared" ref="Q222" si="339">N222-O222/P222</f>
        <v>1.8410970584500788</v>
      </c>
      <c r="R222">
        <v>72</v>
      </c>
      <c r="S222">
        <f t="shared" ref="S222:S285" si="340">N222</f>
        <v>1.8410970584500788</v>
      </c>
    </row>
    <row r="223" spans="1:19" x14ac:dyDescent="0.2">
      <c r="A223" t="e">
        <f t="shared" si="302"/>
        <v>#NUM!</v>
      </c>
      <c r="B223" t="e">
        <f t="shared" si="303"/>
        <v>#NUM!</v>
      </c>
      <c r="C223" t="e">
        <f t="shared" si="304"/>
        <v>#NUM!</v>
      </c>
      <c r="D223" t="e">
        <f t="shared" si="305"/>
        <v>#NUM!</v>
      </c>
      <c r="E223" t="e">
        <f t="shared" si="306"/>
        <v>#NUM!</v>
      </c>
      <c r="F223" t="e">
        <f t="shared" si="307"/>
        <v>#NUM!</v>
      </c>
      <c r="G223" t="e">
        <f t="shared" si="308"/>
        <v>#NUM!</v>
      </c>
      <c r="H223" s="5" t="e">
        <f t="shared" si="309"/>
        <v>#NUM!</v>
      </c>
      <c r="I223" s="5" t="e">
        <f t="shared" si="310"/>
        <v>#NUM!</v>
      </c>
      <c r="J223" s="5">
        <v>216</v>
      </c>
      <c r="N223">
        <f t="shared" si="324"/>
        <v>1.8411070585500797</v>
      </c>
      <c r="O223">
        <f t="shared" si="297"/>
        <v>4.2253993131957657E-5</v>
      </c>
    </row>
    <row r="224" spans="1:19" x14ac:dyDescent="0.2">
      <c r="A224" t="e">
        <f t="shared" si="302"/>
        <v>#NUM!</v>
      </c>
      <c r="B224" t="e">
        <f t="shared" si="303"/>
        <v>#NUM!</v>
      </c>
      <c r="C224" t="e">
        <f t="shared" si="304"/>
        <v>#NUM!</v>
      </c>
      <c r="D224" t="e">
        <f t="shared" si="305"/>
        <v>#NUM!</v>
      </c>
      <c r="E224" t="e">
        <f t="shared" si="306"/>
        <v>#NUM!</v>
      </c>
      <c r="F224" t="e">
        <f t="shared" si="307"/>
        <v>#NUM!</v>
      </c>
      <c r="G224" t="e">
        <f t="shared" si="308"/>
        <v>#NUM!</v>
      </c>
      <c r="H224" s="5" t="e">
        <f t="shared" si="309"/>
        <v>#NUM!</v>
      </c>
      <c r="I224" s="5" t="e">
        <f t="shared" si="310"/>
        <v>#NUM!</v>
      </c>
      <c r="J224" s="5">
        <v>217</v>
      </c>
      <c r="N224">
        <f t="shared" si="319"/>
        <v>1.8410870583500778</v>
      </c>
      <c r="O224">
        <f t="shared" si="297"/>
        <v>-4.2253822631010962E-5</v>
      </c>
    </row>
    <row r="225" spans="1:19" x14ac:dyDescent="0.2">
      <c r="A225" t="e">
        <f t="shared" si="302"/>
        <v>#NUM!</v>
      </c>
      <c r="B225" t="e">
        <f t="shared" si="303"/>
        <v>#NUM!</v>
      </c>
      <c r="C225" t="e">
        <f t="shared" si="304"/>
        <v>#NUM!</v>
      </c>
      <c r="D225" t="e">
        <f t="shared" si="305"/>
        <v>#NUM!</v>
      </c>
      <c r="E225" t="e">
        <f t="shared" si="306"/>
        <v>#NUM!</v>
      </c>
      <c r="F225" t="e">
        <f t="shared" si="307"/>
        <v>#NUM!</v>
      </c>
      <c r="G225" t="e">
        <f t="shared" si="308"/>
        <v>#NUM!</v>
      </c>
      <c r="H225" s="5" t="e">
        <f t="shared" si="309"/>
        <v>#NUM!</v>
      </c>
      <c r="I225" s="5" t="e">
        <f t="shared" si="310"/>
        <v>#NUM!</v>
      </c>
      <c r="J225" s="5">
        <v>218</v>
      </c>
      <c r="N225" s="10">
        <f t="shared" ref="N225" si="341">Q222</f>
        <v>1.8410970584500788</v>
      </c>
      <c r="O225">
        <f t="shared" si="297"/>
        <v>0</v>
      </c>
      <c r="P225">
        <f t="shared" ref="P225:P288" si="342">(O224-O226)/(N224-N226)</f>
        <v>4.225348534256625</v>
      </c>
      <c r="Q225" s="10">
        <f t="shared" ref="Q225" si="343">N225-O225/P225</f>
        <v>1.8410970584500788</v>
      </c>
      <c r="R225">
        <v>73</v>
      </c>
      <c r="S225">
        <f t="shared" ref="S225:S288" si="344">N225</f>
        <v>1.8410970584500788</v>
      </c>
    </row>
    <row r="226" spans="1:19" x14ac:dyDescent="0.2">
      <c r="A226" t="e">
        <f t="shared" si="302"/>
        <v>#NUM!</v>
      </c>
      <c r="B226" t="e">
        <f t="shared" si="303"/>
        <v>#NUM!</v>
      </c>
      <c r="C226" t="e">
        <f t="shared" si="304"/>
        <v>#NUM!</v>
      </c>
      <c r="D226" t="e">
        <f t="shared" si="305"/>
        <v>#NUM!</v>
      </c>
      <c r="E226" t="e">
        <f t="shared" si="306"/>
        <v>#NUM!</v>
      </c>
      <c r="F226" t="e">
        <f t="shared" si="307"/>
        <v>#NUM!</v>
      </c>
      <c r="G226" t="e">
        <f t="shared" si="308"/>
        <v>#NUM!</v>
      </c>
      <c r="H226" s="5" t="e">
        <f t="shared" si="309"/>
        <v>#NUM!</v>
      </c>
      <c r="I226" s="5" t="e">
        <f t="shared" si="310"/>
        <v>#NUM!</v>
      </c>
      <c r="J226" s="5">
        <v>219</v>
      </c>
      <c r="N226">
        <f t="shared" si="324"/>
        <v>1.8411070585500797</v>
      </c>
      <c r="O226">
        <f t="shared" si="297"/>
        <v>4.2253993131957657E-5</v>
      </c>
    </row>
    <row r="227" spans="1:19" x14ac:dyDescent="0.2">
      <c r="A227" t="e">
        <f t="shared" si="302"/>
        <v>#NUM!</v>
      </c>
      <c r="B227" t="e">
        <f t="shared" si="303"/>
        <v>#NUM!</v>
      </c>
      <c r="C227" t="e">
        <f t="shared" si="304"/>
        <v>#NUM!</v>
      </c>
      <c r="D227" t="e">
        <f t="shared" si="305"/>
        <v>#NUM!</v>
      </c>
      <c r="E227" t="e">
        <f t="shared" si="306"/>
        <v>#NUM!</v>
      </c>
      <c r="F227" t="e">
        <f t="shared" si="307"/>
        <v>#NUM!</v>
      </c>
      <c r="G227" t="e">
        <f t="shared" si="308"/>
        <v>#NUM!</v>
      </c>
      <c r="H227" s="5" t="e">
        <f t="shared" si="309"/>
        <v>#NUM!</v>
      </c>
      <c r="I227" s="5" t="e">
        <f t="shared" si="310"/>
        <v>#NUM!</v>
      </c>
      <c r="J227" s="5">
        <v>220</v>
      </c>
      <c r="N227">
        <f t="shared" si="319"/>
        <v>1.8410870583500778</v>
      </c>
      <c r="O227">
        <f t="shared" si="297"/>
        <v>-4.2253822631010962E-5</v>
      </c>
    </row>
    <row r="228" spans="1:19" x14ac:dyDescent="0.2">
      <c r="A228" t="e">
        <f t="shared" si="302"/>
        <v>#NUM!</v>
      </c>
      <c r="B228" t="e">
        <f t="shared" si="303"/>
        <v>#NUM!</v>
      </c>
      <c r="C228" t="e">
        <f t="shared" si="304"/>
        <v>#NUM!</v>
      </c>
      <c r="D228" t="e">
        <f t="shared" si="305"/>
        <v>#NUM!</v>
      </c>
      <c r="E228" t="e">
        <f t="shared" si="306"/>
        <v>#NUM!</v>
      </c>
      <c r="F228" t="e">
        <f t="shared" si="307"/>
        <v>#NUM!</v>
      </c>
      <c r="G228" t="e">
        <f t="shared" si="308"/>
        <v>#NUM!</v>
      </c>
      <c r="H228" s="5" t="e">
        <f t="shared" si="309"/>
        <v>#NUM!</v>
      </c>
      <c r="I228" s="5" t="e">
        <f t="shared" si="310"/>
        <v>#NUM!</v>
      </c>
      <c r="J228" s="5">
        <v>221</v>
      </c>
      <c r="N228" s="10">
        <f t="shared" ref="N228" si="345">Q225</f>
        <v>1.8410970584500788</v>
      </c>
      <c r="O228">
        <f t="shared" si="297"/>
        <v>0</v>
      </c>
      <c r="P228">
        <f t="shared" ref="P228:P291" si="346">(O227-O229)/(N227-N229)</f>
        <v>4.225348534256625</v>
      </c>
      <c r="Q228" s="10">
        <f t="shared" ref="Q228" si="347">N228-O228/P228</f>
        <v>1.8410970584500788</v>
      </c>
      <c r="R228">
        <v>74</v>
      </c>
      <c r="S228">
        <f t="shared" ref="S228:S291" si="348">N228</f>
        <v>1.8410970584500788</v>
      </c>
    </row>
    <row r="229" spans="1:19" x14ac:dyDescent="0.2">
      <c r="A229" t="e">
        <f t="shared" si="302"/>
        <v>#NUM!</v>
      </c>
      <c r="B229" t="e">
        <f t="shared" si="303"/>
        <v>#NUM!</v>
      </c>
      <c r="C229" t="e">
        <f t="shared" si="304"/>
        <v>#NUM!</v>
      </c>
      <c r="D229" t="e">
        <f t="shared" si="305"/>
        <v>#NUM!</v>
      </c>
      <c r="E229" t="e">
        <f t="shared" si="306"/>
        <v>#NUM!</v>
      </c>
      <c r="F229" t="e">
        <f t="shared" si="307"/>
        <v>#NUM!</v>
      </c>
      <c r="G229" t="e">
        <f t="shared" si="308"/>
        <v>#NUM!</v>
      </c>
      <c r="H229" s="5" t="e">
        <f t="shared" si="309"/>
        <v>#NUM!</v>
      </c>
      <c r="I229" s="5" t="e">
        <f t="shared" si="310"/>
        <v>#NUM!</v>
      </c>
      <c r="J229" s="5">
        <v>222</v>
      </c>
      <c r="N229">
        <f t="shared" si="324"/>
        <v>1.8411070585500797</v>
      </c>
      <c r="O229">
        <f t="shared" si="297"/>
        <v>4.2253993131957657E-5</v>
      </c>
    </row>
    <row r="230" spans="1:19" x14ac:dyDescent="0.2">
      <c r="A230" t="e">
        <f t="shared" si="302"/>
        <v>#NUM!</v>
      </c>
      <c r="B230" t="e">
        <f t="shared" si="303"/>
        <v>#NUM!</v>
      </c>
      <c r="C230" t="e">
        <f t="shared" si="304"/>
        <v>#NUM!</v>
      </c>
      <c r="D230" t="e">
        <f t="shared" si="305"/>
        <v>#NUM!</v>
      </c>
      <c r="E230" t="e">
        <f t="shared" si="306"/>
        <v>#NUM!</v>
      </c>
      <c r="F230" t="e">
        <f t="shared" si="307"/>
        <v>#NUM!</v>
      </c>
      <c r="G230" t="e">
        <f t="shared" si="308"/>
        <v>#NUM!</v>
      </c>
      <c r="H230" s="5" t="e">
        <f t="shared" si="309"/>
        <v>#NUM!</v>
      </c>
      <c r="I230" s="5" t="e">
        <f t="shared" si="310"/>
        <v>#NUM!</v>
      </c>
      <c r="J230" s="5">
        <v>223</v>
      </c>
      <c r="N230">
        <f t="shared" si="319"/>
        <v>1.8410870583500778</v>
      </c>
      <c r="O230">
        <f t="shared" si="297"/>
        <v>-4.2253822631010962E-5</v>
      </c>
    </row>
    <row r="231" spans="1:19" x14ac:dyDescent="0.2">
      <c r="A231" t="e">
        <f t="shared" si="302"/>
        <v>#NUM!</v>
      </c>
      <c r="B231" t="e">
        <f t="shared" si="303"/>
        <v>#NUM!</v>
      </c>
      <c r="C231" t="e">
        <f t="shared" si="304"/>
        <v>#NUM!</v>
      </c>
      <c r="D231" t="e">
        <f t="shared" si="305"/>
        <v>#NUM!</v>
      </c>
      <c r="E231" t="e">
        <f t="shared" si="306"/>
        <v>#NUM!</v>
      </c>
      <c r="F231" t="e">
        <f t="shared" si="307"/>
        <v>#NUM!</v>
      </c>
      <c r="G231" t="e">
        <f t="shared" si="308"/>
        <v>#NUM!</v>
      </c>
      <c r="H231" s="5" t="e">
        <f t="shared" si="309"/>
        <v>#NUM!</v>
      </c>
      <c r="I231" s="5" t="e">
        <f t="shared" si="310"/>
        <v>#NUM!</v>
      </c>
      <c r="J231" s="5">
        <v>224</v>
      </c>
      <c r="N231" s="10">
        <f t="shared" ref="N231" si="349">Q228</f>
        <v>1.8410970584500788</v>
      </c>
      <c r="O231">
        <f t="shared" si="297"/>
        <v>0</v>
      </c>
      <c r="P231">
        <f t="shared" ref="P231:P294" si="350">(O230-O232)/(N230-N232)</f>
        <v>4.225348534256625</v>
      </c>
      <c r="Q231" s="10">
        <f t="shared" ref="Q231" si="351">N231-O231/P231</f>
        <v>1.8410970584500788</v>
      </c>
      <c r="R231">
        <v>75</v>
      </c>
      <c r="S231">
        <f t="shared" ref="S231:S294" si="352">N231</f>
        <v>1.8410970584500788</v>
      </c>
    </row>
    <row r="232" spans="1:19" x14ac:dyDescent="0.2">
      <c r="A232" t="e">
        <f t="shared" si="302"/>
        <v>#NUM!</v>
      </c>
      <c r="B232" t="e">
        <f t="shared" si="303"/>
        <v>#NUM!</v>
      </c>
      <c r="C232" t="e">
        <f t="shared" si="304"/>
        <v>#NUM!</v>
      </c>
      <c r="D232" t="e">
        <f t="shared" si="305"/>
        <v>#NUM!</v>
      </c>
      <c r="E232" t="e">
        <f t="shared" si="306"/>
        <v>#NUM!</v>
      </c>
      <c r="F232" t="e">
        <f t="shared" si="307"/>
        <v>#NUM!</v>
      </c>
      <c r="G232" t="e">
        <f t="shared" si="308"/>
        <v>#NUM!</v>
      </c>
      <c r="H232" s="5" t="e">
        <f t="shared" si="309"/>
        <v>#NUM!</v>
      </c>
      <c r="I232" s="5" t="e">
        <f t="shared" si="310"/>
        <v>#NUM!</v>
      </c>
      <c r="J232" s="5">
        <v>225</v>
      </c>
      <c r="N232">
        <f t="shared" si="324"/>
        <v>1.8411070585500797</v>
      </c>
      <c r="O232">
        <f t="shared" si="297"/>
        <v>4.2253993131957657E-5</v>
      </c>
    </row>
    <row r="233" spans="1:19" x14ac:dyDescent="0.2">
      <c r="A233" t="e">
        <f t="shared" si="302"/>
        <v>#NUM!</v>
      </c>
      <c r="B233" t="e">
        <f t="shared" si="303"/>
        <v>#NUM!</v>
      </c>
      <c r="C233" t="e">
        <f t="shared" si="304"/>
        <v>#NUM!</v>
      </c>
      <c r="D233" t="e">
        <f t="shared" si="305"/>
        <v>#NUM!</v>
      </c>
      <c r="E233" t="e">
        <f t="shared" si="306"/>
        <v>#NUM!</v>
      </c>
      <c r="F233" t="e">
        <f t="shared" si="307"/>
        <v>#NUM!</v>
      </c>
      <c r="G233" t="e">
        <f t="shared" si="308"/>
        <v>#NUM!</v>
      </c>
      <c r="H233" s="5" t="e">
        <f t="shared" si="309"/>
        <v>#NUM!</v>
      </c>
      <c r="I233" s="5" t="e">
        <f t="shared" si="310"/>
        <v>#NUM!</v>
      </c>
      <c r="J233" s="5">
        <v>226</v>
      </c>
      <c r="N233">
        <f t="shared" si="319"/>
        <v>1.8410870583500778</v>
      </c>
      <c r="O233">
        <f t="shared" si="297"/>
        <v>-4.2253822631010962E-5</v>
      </c>
    </row>
    <row r="234" spans="1:19" x14ac:dyDescent="0.2">
      <c r="A234" t="e">
        <f t="shared" si="302"/>
        <v>#NUM!</v>
      </c>
      <c r="B234" t="e">
        <f t="shared" si="303"/>
        <v>#NUM!</v>
      </c>
      <c r="C234" t="e">
        <f t="shared" si="304"/>
        <v>#NUM!</v>
      </c>
      <c r="D234" t="e">
        <f t="shared" si="305"/>
        <v>#NUM!</v>
      </c>
      <c r="E234" t="e">
        <f t="shared" si="306"/>
        <v>#NUM!</v>
      </c>
      <c r="F234" t="e">
        <f t="shared" si="307"/>
        <v>#NUM!</v>
      </c>
      <c r="G234" t="e">
        <f t="shared" si="308"/>
        <v>#NUM!</v>
      </c>
      <c r="H234" s="5" t="e">
        <f t="shared" si="309"/>
        <v>#NUM!</v>
      </c>
      <c r="I234" s="5" t="e">
        <f t="shared" si="310"/>
        <v>#NUM!</v>
      </c>
      <c r="J234" s="5">
        <v>227</v>
      </c>
      <c r="N234" s="10">
        <f t="shared" ref="N234" si="353">Q231</f>
        <v>1.8410970584500788</v>
      </c>
      <c r="O234">
        <f t="shared" si="297"/>
        <v>0</v>
      </c>
      <c r="P234">
        <f t="shared" ref="P234:P297" si="354">(O233-O235)/(N233-N235)</f>
        <v>4.225348534256625</v>
      </c>
      <c r="Q234" s="10">
        <f t="shared" ref="Q234" si="355">N234-O234/P234</f>
        <v>1.8410970584500788</v>
      </c>
      <c r="R234">
        <v>76</v>
      </c>
      <c r="S234">
        <f t="shared" ref="S234:S297" si="356">N234</f>
        <v>1.8410970584500788</v>
      </c>
    </row>
    <row r="235" spans="1:19" x14ac:dyDescent="0.2">
      <c r="A235" t="e">
        <f t="shared" si="302"/>
        <v>#NUM!</v>
      </c>
      <c r="B235" t="e">
        <f t="shared" si="303"/>
        <v>#NUM!</v>
      </c>
      <c r="C235" t="e">
        <f t="shared" si="304"/>
        <v>#NUM!</v>
      </c>
      <c r="D235" t="e">
        <f t="shared" si="305"/>
        <v>#NUM!</v>
      </c>
      <c r="E235" t="e">
        <f t="shared" si="306"/>
        <v>#NUM!</v>
      </c>
      <c r="F235" t="e">
        <f t="shared" si="307"/>
        <v>#NUM!</v>
      </c>
      <c r="G235" t="e">
        <f t="shared" si="308"/>
        <v>#NUM!</v>
      </c>
      <c r="H235" s="5" t="e">
        <f t="shared" si="309"/>
        <v>#NUM!</v>
      </c>
      <c r="I235" s="5" t="e">
        <f t="shared" si="310"/>
        <v>#NUM!</v>
      </c>
      <c r="J235" s="5">
        <v>228</v>
      </c>
      <c r="N235">
        <f t="shared" si="324"/>
        <v>1.8411070585500797</v>
      </c>
      <c r="O235">
        <f t="shared" si="297"/>
        <v>4.2253993131957657E-5</v>
      </c>
    </row>
    <row r="236" spans="1:19" x14ac:dyDescent="0.2">
      <c r="A236" t="e">
        <f t="shared" si="302"/>
        <v>#NUM!</v>
      </c>
      <c r="B236" t="e">
        <f t="shared" si="303"/>
        <v>#NUM!</v>
      </c>
      <c r="C236" t="e">
        <f t="shared" si="304"/>
        <v>#NUM!</v>
      </c>
      <c r="D236" t="e">
        <f t="shared" si="305"/>
        <v>#NUM!</v>
      </c>
      <c r="E236" t="e">
        <f t="shared" si="306"/>
        <v>#NUM!</v>
      </c>
      <c r="F236" t="e">
        <f t="shared" si="307"/>
        <v>#NUM!</v>
      </c>
      <c r="G236" t="e">
        <f t="shared" si="308"/>
        <v>#NUM!</v>
      </c>
      <c r="H236" s="5" t="e">
        <f t="shared" si="309"/>
        <v>#NUM!</v>
      </c>
      <c r="I236" s="5" t="e">
        <f t="shared" si="310"/>
        <v>#NUM!</v>
      </c>
      <c r="J236" s="5">
        <v>229</v>
      </c>
      <c r="N236">
        <f t="shared" si="319"/>
        <v>1.8410870583500778</v>
      </c>
      <c r="O236">
        <f t="shared" si="297"/>
        <v>-4.2253822631010962E-5</v>
      </c>
    </row>
    <row r="237" spans="1:19" x14ac:dyDescent="0.2">
      <c r="A237" t="e">
        <f t="shared" si="302"/>
        <v>#NUM!</v>
      </c>
      <c r="B237" t="e">
        <f t="shared" si="303"/>
        <v>#NUM!</v>
      </c>
      <c r="C237" t="e">
        <f t="shared" si="304"/>
        <v>#NUM!</v>
      </c>
      <c r="D237" t="e">
        <f t="shared" si="305"/>
        <v>#NUM!</v>
      </c>
      <c r="E237" t="e">
        <f t="shared" si="306"/>
        <v>#NUM!</v>
      </c>
      <c r="F237" t="e">
        <f t="shared" si="307"/>
        <v>#NUM!</v>
      </c>
      <c r="G237" t="e">
        <f t="shared" si="308"/>
        <v>#NUM!</v>
      </c>
      <c r="H237" s="5" t="e">
        <f t="shared" si="309"/>
        <v>#NUM!</v>
      </c>
      <c r="I237" s="5" t="e">
        <f t="shared" si="310"/>
        <v>#NUM!</v>
      </c>
      <c r="J237" s="5">
        <v>230</v>
      </c>
      <c r="N237" s="10">
        <f t="shared" ref="N237" si="357">Q234</f>
        <v>1.8410970584500788</v>
      </c>
      <c r="O237">
        <f t="shared" si="297"/>
        <v>0</v>
      </c>
      <c r="P237">
        <f t="shared" ref="P237:P300" si="358">(O236-O238)/(N236-N238)</f>
        <v>4.225348534256625</v>
      </c>
      <c r="Q237" s="10">
        <f t="shared" ref="Q237" si="359">N237-O237/P237</f>
        <v>1.8410970584500788</v>
      </c>
      <c r="R237">
        <v>77</v>
      </c>
      <c r="S237">
        <f t="shared" ref="S237:S300" si="360">N237</f>
        <v>1.8410970584500788</v>
      </c>
    </row>
    <row r="238" spans="1:19" x14ac:dyDescent="0.2">
      <c r="A238" t="e">
        <f t="shared" si="302"/>
        <v>#NUM!</v>
      </c>
      <c r="B238" t="e">
        <f t="shared" si="303"/>
        <v>#NUM!</v>
      </c>
      <c r="C238" t="e">
        <f t="shared" si="304"/>
        <v>#NUM!</v>
      </c>
      <c r="D238" t="e">
        <f t="shared" si="305"/>
        <v>#NUM!</v>
      </c>
      <c r="E238" t="e">
        <f t="shared" si="306"/>
        <v>#NUM!</v>
      </c>
      <c r="F238" t="e">
        <f t="shared" si="307"/>
        <v>#NUM!</v>
      </c>
      <c r="G238" t="e">
        <f t="shared" si="308"/>
        <v>#NUM!</v>
      </c>
      <c r="H238" s="5" t="e">
        <f t="shared" si="309"/>
        <v>#NUM!</v>
      </c>
      <c r="I238" s="5" t="e">
        <f t="shared" si="310"/>
        <v>#NUM!</v>
      </c>
      <c r="J238" s="5">
        <v>231</v>
      </c>
      <c r="N238">
        <f t="shared" si="324"/>
        <v>1.8411070585500797</v>
      </c>
      <c r="O238">
        <f t="shared" si="297"/>
        <v>4.2253993131957657E-5</v>
      </c>
    </row>
    <row r="239" spans="1:19" x14ac:dyDescent="0.2">
      <c r="A239" t="e">
        <f t="shared" si="302"/>
        <v>#NUM!</v>
      </c>
      <c r="B239" t="e">
        <f t="shared" si="303"/>
        <v>#NUM!</v>
      </c>
      <c r="C239" t="e">
        <f t="shared" si="304"/>
        <v>#NUM!</v>
      </c>
      <c r="D239" t="e">
        <f t="shared" si="305"/>
        <v>#NUM!</v>
      </c>
      <c r="E239" t="e">
        <f t="shared" si="306"/>
        <v>#NUM!</v>
      </c>
      <c r="F239" t="e">
        <f t="shared" si="307"/>
        <v>#NUM!</v>
      </c>
      <c r="G239" t="e">
        <f t="shared" si="308"/>
        <v>#NUM!</v>
      </c>
      <c r="H239" s="5" t="e">
        <f t="shared" si="309"/>
        <v>#NUM!</v>
      </c>
      <c r="I239" s="5" t="e">
        <f t="shared" si="310"/>
        <v>#NUM!</v>
      </c>
      <c r="J239" s="5">
        <v>232</v>
      </c>
      <c r="N239">
        <f t="shared" si="319"/>
        <v>1.8410870583500778</v>
      </c>
      <c r="O239">
        <f t="shared" si="297"/>
        <v>-4.2253822631010962E-5</v>
      </c>
    </row>
    <row r="240" spans="1:19" x14ac:dyDescent="0.2">
      <c r="A240" t="e">
        <f t="shared" si="302"/>
        <v>#NUM!</v>
      </c>
      <c r="B240" t="e">
        <f t="shared" si="303"/>
        <v>#NUM!</v>
      </c>
      <c r="C240" t="e">
        <f t="shared" si="304"/>
        <v>#NUM!</v>
      </c>
      <c r="D240" t="e">
        <f t="shared" si="305"/>
        <v>#NUM!</v>
      </c>
      <c r="E240" t="e">
        <f t="shared" si="306"/>
        <v>#NUM!</v>
      </c>
      <c r="F240" t="e">
        <f t="shared" si="307"/>
        <v>#NUM!</v>
      </c>
      <c r="G240" t="e">
        <f t="shared" si="308"/>
        <v>#NUM!</v>
      </c>
      <c r="H240" s="5" t="e">
        <f t="shared" si="309"/>
        <v>#NUM!</v>
      </c>
      <c r="I240" s="5" t="e">
        <f t="shared" si="310"/>
        <v>#NUM!</v>
      </c>
      <c r="J240" s="5">
        <v>233</v>
      </c>
      <c r="N240" s="10">
        <f t="shared" ref="N240" si="361">Q237</f>
        <v>1.8410970584500788</v>
      </c>
      <c r="O240">
        <f t="shared" si="297"/>
        <v>0</v>
      </c>
      <c r="P240">
        <f t="shared" ref="P240:P303" si="362">(O239-O241)/(N239-N241)</f>
        <v>4.225348534256625</v>
      </c>
      <c r="Q240" s="10">
        <f t="shared" ref="Q240" si="363">N240-O240/P240</f>
        <v>1.8410970584500788</v>
      </c>
      <c r="R240">
        <v>78</v>
      </c>
      <c r="S240">
        <f t="shared" ref="S240:S303" si="364">N240</f>
        <v>1.8410970584500788</v>
      </c>
    </row>
    <row r="241" spans="1:19" x14ac:dyDescent="0.2">
      <c r="A241" t="e">
        <f t="shared" si="302"/>
        <v>#NUM!</v>
      </c>
      <c r="B241" t="e">
        <f t="shared" si="303"/>
        <v>#NUM!</v>
      </c>
      <c r="C241" t="e">
        <f t="shared" si="304"/>
        <v>#NUM!</v>
      </c>
      <c r="D241" t="e">
        <f t="shared" si="305"/>
        <v>#NUM!</v>
      </c>
      <c r="E241" t="e">
        <f t="shared" si="306"/>
        <v>#NUM!</v>
      </c>
      <c r="F241" t="e">
        <f t="shared" si="307"/>
        <v>#NUM!</v>
      </c>
      <c r="G241" t="e">
        <f t="shared" si="308"/>
        <v>#NUM!</v>
      </c>
      <c r="H241" s="5" t="e">
        <f t="shared" si="309"/>
        <v>#NUM!</v>
      </c>
      <c r="I241" s="5" t="e">
        <f t="shared" si="310"/>
        <v>#NUM!</v>
      </c>
      <c r="J241" s="5">
        <v>234</v>
      </c>
      <c r="N241">
        <f t="shared" si="324"/>
        <v>1.8411070585500797</v>
      </c>
      <c r="O241">
        <f t="shared" si="297"/>
        <v>4.2253993131957657E-5</v>
      </c>
    </row>
    <row r="242" spans="1:19" x14ac:dyDescent="0.2">
      <c r="A242" t="e">
        <f t="shared" si="302"/>
        <v>#NUM!</v>
      </c>
      <c r="B242" t="e">
        <f t="shared" si="303"/>
        <v>#NUM!</v>
      </c>
      <c r="C242" t="e">
        <f t="shared" si="304"/>
        <v>#NUM!</v>
      </c>
      <c r="D242" t="e">
        <f t="shared" si="305"/>
        <v>#NUM!</v>
      </c>
      <c r="E242" t="e">
        <f t="shared" si="306"/>
        <v>#NUM!</v>
      </c>
      <c r="F242" t="e">
        <f t="shared" si="307"/>
        <v>#NUM!</v>
      </c>
      <c r="G242" t="e">
        <f t="shared" si="308"/>
        <v>#NUM!</v>
      </c>
      <c r="H242" s="5" t="e">
        <f t="shared" si="309"/>
        <v>#NUM!</v>
      </c>
      <c r="I242" s="5" t="e">
        <f t="shared" si="310"/>
        <v>#NUM!</v>
      </c>
      <c r="J242" s="5">
        <v>235</v>
      </c>
      <c r="N242">
        <f t="shared" si="319"/>
        <v>1.8410870583500778</v>
      </c>
      <c r="O242">
        <f t="shared" si="297"/>
        <v>-4.2253822631010962E-5</v>
      </c>
    </row>
    <row r="243" spans="1:19" x14ac:dyDescent="0.2">
      <c r="A243" t="e">
        <f t="shared" si="302"/>
        <v>#NUM!</v>
      </c>
      <c r="B243" t="e">
        <f t="shared" si="303"/>
        <v>#NUM!</v>
      </c>
      <c r="C243" t="e">
        <f t="shared" si="304"/>
        <v>#NUM!</v>
      </c>
      <c r="D243" t="e">
        <f t="shared" si="305"/>
        <v>#NUM!</v>
      </c>
      <c r="E243" t="e">
        <f t="shared" si="306"/>
        <v>#NUM!</v>
      </c>
      <c r="F243" t="e">
        <f t="shared" si="307"/>
        <v>#NUM!</v>
      </c>
      <c r="G243" t="e">
        <f t="shared" si="308"/>
        <v>#NUM!</v>
      </c>
      <c r="H243" s="5" t="e">
        <f t="shared" si="309"/>
        <v>#NUM!</v>
      </c>
      <c r="I243" s="5" t="e">
        <f t="shared" si="310"/>
        <v>#NUM!</v>
      </c>
      <c r="J243" s="5">
        <v>236</v>
      </c>
      <c r="N243" s="10">
        <f t="shared" ref="N243" si="365">Q240</f>
        <v>1.8410970584500788</v>
      </c>
      <c r="O243">
        <f t="shared" si="297"/>
        <v>0</v>
      </c>
      <c r="P243">
        <f t="shared" ref="P243:P306" si="366">(O242-O244)/(N242-N244)</f>
        <v>4.225348534256625</v>
      </c>
      <c r="Q243" s="10">
        <f t="shared" ref="Q243" si="367">N243-O243/P243</f>
        <v>1.8410970584500788</v>
      </c>
      <c r="R243">
        <v>79</v>
      </c>
      <c r="S243">
        <f t="shared" ref="S243:S306" si="368">N243</f>
        <v>1.8410970584500788</v>
      </c>
    </row>
    <row r="244" spans="1:19" x14ac:dyDescent="0.2">
      <c r="A244" t="e">
        <f t="shared" si="302"/>
        <v>#NUM!</v>
      </c>
      <c r="B244" t="e">
        <f t="shared" si="303"/>
        <v>#NUM!</v>
      </c>
      <c r="C244" t="e">
        <f t="shared" si="304"/>
        <v>#NUM!</v>
      </c>
      <c r="D244" t="e">
        <f t="shared" si="305"/>
        <v>#NUM!</v>
      </c>
      <c r="E244" t="e">
        <f t="shared" si="306"/>
        <v>#NUM!</v>
      </c>
      <c r="F244" t="e">
        <f t="shared" si="307"/>
        <v>#NUM!</v>
      </c>
      <c r="G244" t="e">
        <f t="shared" si="308"/>
        <v>#NUM!</v>
      </c>
      <c r="H244" s="5" t="e">
        <f t="shared" si="309"/>
        <v>#NUM!</v>
      </c>
      <c r="I244" s="5" t="e">
        <f t="shared" si="310"/>
        <v>#NUM!</v>
      </c>
      <c r="J244" s="5">
        <v>237</v>
      </c>
      <c r="N244">
        <f t="shared" si="324"/>
        <v>1.8411070585500797</v>
      </c>
      <c r="O244">
        <f t="shared" si="297"/>
        <v>4.2253993131957657E-5</v>
      </c>
    </row>
    <row r="245" spans="1:19" x14ac:dyDescent="0.2">
      <c r="A245" t="e">
        <f t="shared" si="302"/>
        <v>#NUM!</v>
      </c>
      <c r="B245" t="e">
        <f t="shared" si="303"/>
        <v>#NUM!</v>
      </c>
      <c r="C245" t="e">
        <f t="shared" si="304"/>
        <v>#NUM!</v>
      </c>
      <c r="D245" t="e">
        <f t="shared" si="305"/>
        <v>#NUM!</v>
      </c>
      <c r="E245" t="e">
        <f t="shared" si="306"/>
        <v>#NUM!</v>
      </c>
      <c r="F245" t="e">
        <f t="shared" si="307"/>
        <v>#NUM!</v>
      </c>
      <c r="G245" t="e">
        <f t="shared" si="308"/>
        <v>#NUM!</v>
      </c>
      <c r="H245" s="5" t="e">
        <f t="shared" si="309"/>
        <v>#NUM!</v>
      </c>
      <c r="I245" s="5" t="e">
        <f t="shared" si="310"/>
        <v>#NUM!</v>
      </c>
      <c r="J245" s="5">
        <v>238</v>
      </c>
      <c r="N245">
        <f t="shared" si="319"/>
        <v>1.8410870583500778</v>
      </c>
      <c r="O245">
        <f t="shared" si="297"/>
        <v>-4.2253822631010962E-5</v>
      </c>
    </row>
    <row r="246" spans="1:19" x14ac:dyDescent="0.2">
      <c r="A246" t="e">
        <f t="shared" si="302"/>
        <v>#NUM!</v>
      </c>
      <c r="B246" t="e">
        <f t="shared" si="303"/>
        <v>#NUM!</v>
      </c>
      <c r="C246" t="e">
        <f t="shared" si="304"/>
        <v>#NUM!</v>
      </c>
      <c r="D246" t="e">
        <f t="shared" si="305"/>
        <v>#NUM!</v>
      </c>
      <c r="E246" t="e">
        <f t="shared" si="306"/>
        <v>#NUM!</v>
      </c>
      <c r="F246" t="e">
        <f t="shared" si="307"/>
        <v>#NUM!</v>
      </c>
      <c r="G246" t="e">
        <f t="shared" si="308"/>
        <v>#NUM!</v>
      </c>
      <c r="H246" s="5" t="e">
        <f t="shared" si="309"/>
        <v>#NUM!</v>
      </c>
      <c r="I246" s="5" t="e">
        <f t="shared" si="310"/>
        <v>#NUM!</v>
      </c>
      <c r="J246" s="5">
        <v>239</v>
      </c>
      <c r="N246" s="10">
        <f t="shared" ref="N246" si="369">Q243</f>
        <v>1.8410970584500788</v>
      </c>
      <c r="O246">
        <f t="shared" si="297"/>
        <v>0</v>
      </c>
      <c r="P246">
        <f t="shared" ref="P246:P309" si="370">(O245-O247)/(N245-N247)</f>
        <v>4.225348534256625</v>
      </c>
      <c r="Q246" s="10">
        <f t="shared" ref="Q246" si="371">N246-O246/P246</f>
        <v>1.8410970584500788</v>
      </c>
      <c r="R246">
        <v>80</v>
      </c>
      <c r="S246">
        <f t="shared" ref="S246:S309" si="372">N246</f>
        <v>1.8410970584500788</v>
      </c>
    </row>
    <row r="247" spans="1:19" x14ac:dyDescent="0.2">
      <c r="A247" t="e">
        <f t="shared" si="302"/>
        <v>#NUM!</v>
      </c>
      <c r="B247" t="e">
        <f t="shared" si="303"/>
        <v>#NUM!</v>
      </c>
      <c r="C247" t="e">
        <f t="shared" si="304"/>
        <v>#NUM!</v>
      </c>
      <c r="D247" t="e">
        <f t="shared" si="305"/>
        <v>#NUM!</v>
      </c>
      <c r="E247" t="e">
        <f t="shared" si="306"/>
        <v>#NUM!</v>
      </c>
      <c r="F247" t="e">
        <f t="shared" si="307"/>
        <v>#NUM!</v>
      </c>
      <c r="G247" t="e">
        <f t="shared" si="308"/>
        <v>#NUM!</v>
      </c>
      <c r="H247" s="5" t="e">
        <f t="shared" si="309"/>
        <v>#NUM!</v>
      </c>
      <c r="I247" s="5" t="e">
        <f t="shared" si="310"/>
        <v>#NUM!</v>
      </c>
      <c r="J247" s="5">
        <v>240</v>
      </c>
      <c r="N247">
        <f t="shared" si="324"/>
        <v>1.8411070585500797</v>
      </c>
      <c r="O247">
        <f t="shared" si="297"/>
        <v>4.2253993131957657E-5</v>
      </c>
    </row>
    <row r="248" spans="1:19" x14ac:dyDescent="0.2">
      <c r="A248" t="e">
        <f t="shared" si="302"/>
        <v>#NUM!</v>
      </c>
      <c r="B248" t="e">
        <f t="shared" si="303"/>
        <v>#NUM!</v>
      </c>
      <c r="C248" t="e">
        <f t="shared" si="304"/>
        <v>#NUM!</v>
      </c>
      <c r="D248" t="e">
        <f t="shared" si="305"/>
        <v>#NUM!</v>
      </c>
      <c r="E248" t="e">
        <f t="shared" si="306"/>
        <v>#NUM!</v>
      </c>
      <c r="F248" t="e">
        <f t="shared" si="307"/>
        <v>#NUM!</v>
      </c>
      <c r="G248" t="e">
        <f t="shared" si="308"/>
        <v>#NUM!</v>
      </c>
      <c r="H248" s="5" t="e">
        <f t="shared" si="309"/>
        <v>#NUM!</v>
      </c>
      <c r="I248" s="5" t="e">
        <f t="shared" si="310"/>
        <v>#NUM!</v>
      </c>
      <c r="J248" s="5">
        <v>241</v>
      </c>
      <c r="N248">
        <f t="shared" si="319"/>
        <v>1.8410870583500778</v>
      </c>
      <c r="O248">
        <f t="shared" si="297"/>
        <v>-4.2253822631010962E-5</v>
      </c>
    </row>
    <row r="249" spans="1:19" x14ac:dyDescent="0.2">
      <c r="A249" t="e">
        <f t="shared" si="302"/>
        <v>#NUM!</v>
      </c>
      <c r="B249" t="e">
        <f t="shared" si="303"/>
        <v>#NUM!</v>
      </c>
      <c r="C249" t="e">
        <f t="shared" si="304"/>
        <v>#NUM!</v>
      </c>
      <c r="D249" t="e">
        <f t="shared" si="305"/>
        <v>#NUM!</v>
      </c>
      <c r="E249" t="e">
        <f t="shared" si="306"/>
        <v>#NUM!</v>
      </c>
      <c r="F249" t="e">
        <f t="shared" si="307"/>
        <v>#NUM!</v>
      </c>
      <c r="G249" t="e">
        <f t="shared" si="308"/>
        <v>#NUM!</v>
      </c>
      <c r="H249" s="5" t="e">
        <f t="shared" si="309"/>
        <v>#NUM!</v>
      </c>
      <c r="I249" s="5" t="e">
        <f t="shared" si="310"/>
        <v>#NUM!</v>
      </c>
      <c r="J249" s="5">
        <v>242</v>
      </c>
      <c r="N249" s="10">
        <f t="shared" ref="N249" si="373">Q246</f>
        <v>1.8410970584500788</v>
      </c>
      <c r="O249">
        <f t="shared" si="297"/>
        <v>0</v>
      </c>
      <c r="P249">
        <f t="shared" ref="P249:P312" si="374">(O248-O250)/(N248-N250)</f>
        <v>4.225348534256625</v>
      </c>
      <c r="Q249" s="10">
        <f t="shared" ref="Q249" si="375">N249-O249/P249</f>
        <v>1.8410970584500788</v>
      </c>
      <c r="R249">
        <v>81</v>
      </c>
      <c r="S249">
        <f t="shared" ref="S249:S312" si="376">N249</f>
        <v>1.8410970584500788</v>
      </c>
    </row>
    <row r="250" spans="1:19" x14ac:dyDescent="0.2">
      <c r="A250" t="e">
        <f t="shared" si="302"/>
        <v>#NUM!</v>
      </c>
      <c r="B250" t="e">
        <f t="shared" si="303"/>
        <v>#NUM!</v>
      </c>
      <c r="C250" t="e">
        <f t="shared" si="304"/>
        <v>#NUM!</v>
      </c>
      <c r="D250" t="e">
        <f t="shared" si="305"/>
        <v>#NUM!</v>
      </c>
      <c r="E250" t="e">
        <f t="shared" si="306"/>
        <v>#NUM!</v>
      </c>
      <c r="F250" t="e">
        <f t="shared" si="307"/>
        <v>#NUM!</v>
      </c>
      <c r="G250" t="e">
        <f t="shared" si="308"/>
        <v>#NUM!</v>
      </c>
      <c r="H250" s="5" t="e">
        <f t="shared" si="309"/>
        <v>#NUM!</v>
      </c>
      <c r="I250" s="5" t="e">
        <f t="shared" si="310"/>
        <v>#NUM!</v>
      </c>
      <c r="J250" s="5">
        <v>243</v>
      </c>
      <c r="N250">
        <f t="shared" si="324"/>
        <v>1.8411070585500797</v>
      </c>
      <c r="O250">
        <f t="shared" si="297"/>
        <v>4.2253993131957657E-5</v>
      </c>
    </row>
    <row r="251" spans="1:19" x14ac:dyDescent="0.2">
      <c r="A251" t="e">
        <f t="shared" si="302"/>
        <v>#NUM!</v>
      </c>
      <c r="B251" t="e">
        <f t="shared" si="303"/>
        <v>#NUM!</v>
      </c>
      <c r="C251" t="e">
        <f t="shared" si="304"/>
        <v>#NUM!</v>
      </c>
      <c r="D251" t="e">
        <f t="shared" si="305"/>
        <v>#NUM!</v>
      </c>
      <c r="E251" t="e">
        <f t="shared" si="306"/>
        <v>#NUM!</v>
      </c>
      <c r="F251" t="e">
        <f t="shared" si="307"/>
        <v>#NUM!</v>
      </c>
      <c r="G251" t="e">
        <f t="shared" si="308"/>
        <v>#NUM!</v>
      </c>
      <c r="H251" s="5" t="e">
        <f t="shared" si="309"/>
        <v>#NUM!</v>
      </c>
      <c r="I251" s="5" t="e">
        <f t="shared" si="310"/>
        <v>#NUM!</v>
      </c>
      <c r="J251" s="5">
        <v>244</v>
      </c>
      <c r="N251">
        <f t="shared" si="319"/>
        <v>1.8410870583500778</v>
      </c>
      <c r="O251">
        <f t="shared" si="297"/>
        <v>-4.2253822631010962E-5</v>
      </c>
    </row>
    <row r="252" spans="1:19" x14ac:dyDescent="0.2">
      <c r="A252" t="e">
        <f t="shared" si="302"/>
        <v>#NUM!</v>
      </c>
      <c r="B252" t="e">
        <f t="shared" si="303"/>
        <v>#NUM!</v>
      </c>
      <c r="C252" t="e">
        <f t="shared" si="304"/>
        <v>#NUM!</v>
      </c>
      <c r="D252" t="e">
        <f t="shared" si="305"/>
        <v>#NUM!</v>
      </c>
      <c r="E252" t="e">
        <f t="shared" si="306"/>
        <v>#NUM!</v>
      </c>
      <c r="F252" t="e">
        <f t="shared" si="307"/>
        <v>#NUM!</v>
      </c>
      <c r="G252" t="e">
        <f t="shared" si="308"/>
        <v>#NUM!</v>
      </c>
      <c r="H252" s="5" t="e">
        <f t="shared" si="309"/>
        <v>#NUM!</v>
      </c>
      <c r="I252" s="5" t="e">
        <f t="shared" si="310"/>
        <v>#NUM!</v>
      </c>
      <c r="J252" s="5">
        <v>245</v>
      </c>
      <c r="N252" s="10">
        <f t="shared" ref="N252" si="377">Q249</f>
        <v>1.8410970584500788</v>
      </c>
      <c r="O252">
        <f t="shared" si="297"/>
        <v>0</v>
      </c>
      <c r="P252">
        <f t="shared" ref="P252:P315" si="378">(O251-O253)/(N251-N253)</f>
        <v>4.225348534256625</v>
      </c>
      <c r="Q252" s="10">
        <f t="shared" ref="Q252" si="379">N252-O252/P252</f>
        <v>1.8410970584500788</v>
      </c>
      <c r="R252">
        <v>82</v>
      </c>
      <c r="S252">
        <f t="shared" ref="S252:S315" si="380">N252</f>
        <v>1.8410970584500788</v>
      </c>
    </row>
    <row r="253" spans="1:19" x14ac:dyDescent="0.2">
      <c r="A253" t="e">
        <f t="shared" si="302"/>
        <v>#NUM!</v>
      </c>
      <c r="B253" t="e">
        <f t="shared" si="303"/>
        <v>#NUM!</v>
      </c>
      <c r="C253" t="e">
        <f t="shared" si="304"/>
        <v>#NUM!</v>
      </c>
      <c r="D253" t="e">
        <f t="shared" si="305"/>
        <v>#NUM!</v>
      </c>
      <c r="E253" t="e">
        <f t="shared" si="306"/>
        <v>#NUM!</v>
      </c>
      <c r="F253" t="e">
        <f t="shared" si="307"/>
        <v>#NUM!</v>
      </c>
      <c r="G253" t="e">
        <f t="shared" si="308"/>
        <v>#NUM!</v>
      </c>
      <c r="H253" s="5" t="e">
        <f t="shared" si="309"/>
        <v>#NUM!</v>
      </c>
      <c r="I253" s="5" t="e">
        <f t="shared" si="310"/>
        <v>#NUM!</v>
      </c>
      <c r="J253" s="5">
        <v>246</v>
      </c>
      <c r="N253">
        <f t="shared" si="324"/>
        <v>1.8411070585500797</v>
      </c>
      <c r="O253">
        <f t="shared" si="297"/>
        <v>4.2253993131957657E-5</v>
      </c>
    </row>
    <row r="254" spans="1:19" x14ac:dyDescent="0.2">
      <c r="A254" t="e">
        <f t="shared" si="302"/>
        <v>#NUM!</v>
      </c>
      <c r="B254" t="e">
        <f t="shared" si="303"/>
        <v>#NUM!</v>
      </c>
      <c r="C254" t="e">
        <f t="shared" si="304"/>
        <v>#NUM!</v>
      </c>
      <c r="D254" t="e">
        <f t="shared" si="305"/>
        <v>#NUM!</v>
      </c>
      <c r="E254" t="e">
        <f t="shared" si="306"/>
        <v>#NUM!</v>
      </c>
      <c r="F254" t="e">
        <f t="shared" si="307"/>
        <v>#NUM!</v>
      </c>
      <c r="G254" t="e">
        <f t="shared" si="308"/>
        <v>#NUM!</v>
      </c>
      <c r="H254" s="5" t="e">
        <f t="shared" si="309"/>
        <v>#NUM!</v>
      </c>
      <c r="I254" s="5" t="e">
        <f t="shared" si="310"/>
        <v>#NUM!</v>
      </c>
      <c r="J254" s="5">
        <v>247</v>
      </c>
      <c r="N254">
        <f t="shared" si="319"/>
        <v>1.8410870583500778</v>
      </c>
      <c r="O254">
        <f t="shared" si="297"/>
        <v>-4.2253822631010962E-5</v>
      </c>
    </row>
    <row r="255" spans="1:19" x14ac:dyDescent="0.2">
      <c r="A255" t="e">
        <f t="shared" si="302"/>
        <v>#NUM!</v>
      </c>
      <c r="B255" t="e">
        <f t="shared" si="303"/>
        <v>#NUM!</v>
      </c>
      <c r="C255" t="e">
        <f t="shared" si="304"/>
        <v>#NUM!</v>
      </c>
      <c r="D255" t="e">
        <f t="shared" si="305"/>
        <v>#NUM!</v>
      </c>
      <c r="E255" t="e">
        <f t="shared" si="306"/>
        <v>#NUM!</v>
      </c>
      <c r="F255" t="e">
        <f t="shared" si="307"/>
        <v>#NUM!</v>
      </c>
      <c r="G255" t="e">
        <f t="shared" si="308"/>
        <v>#NUM!</v>
      </c>
      <c r="H255" s="5" t="e">
        <f t="shared" si="309"/>
        <v>#NUM!</v>
      </c>
      <c r="I255" s="5" t="e">
        <f t="shared" si="310"/>
        <v>#NUM!</v>
      </c>
      <c r="J255" s="5">
        <v>248</v>
      </c>
      <c r="N255" s="10">
        <f t="shared" ref="N255" si="381">Q252</f>
        <v>1.8410970584500788</v>
      </c>
      <c r="O255">
        <f t="shared" si="297"/>
        <v>0</v>
      </c>
      <c r="P255">
        <f t="shared" ref="P255:P318" si="382">(O254-O256)/(N254-N256)</f>
        <v>4.225348534256625</v>
      </c>
      <c r="Q255" s="10">
        <f t="shared" ref="Q255" si="383">N255-O255/P255</f>
        <v>1.8410970584500788</v>
      </c>
      <c r="R255">
        <v>83</v>
      </c>
      <c r="S255">
        <f t="shared" ref="S255:S318" si="384">N255</f>
        <v>1.8410970584500788</v>
      </c>
    </row>
    <row r="256" spans="1:19" x14ac:dyDescent="0.2">
      <c r="A256" t="e">
        <f t="shared" si="302"/>
        <v>#NUM!</v>
      </c>
      <c r="B256" t="e">
        <f t="shared" si="303"/>
        <v>#NUM!</v>
      </c>
      <c r="C256" t="e">
        <f t="shared" si="304"/>
        <v>#NUM!</v>
      </c>
      <c r="D256" t="e">
        <f t="shared" si="305"/>
        <v>#NUM!</v>
      </c>
      <c r="E256" t="e">
        <f t="shared" si="306"/>
        <v>#NUM!</v>
      </c>
      <c r="F256" t="e">
        <f t="shared" si="307"/>
        <v>#NUM!</v>
      </c>
      <c r="G256" t="e">
        <f t="shared" si="308"/>
        <v>#NUM!</v>
      </c>
      <c r="H256" s="5" t="e">
        <f t="shared" si="309"/>
        <v>#NUM!</v>
      </c>
      <c r="I256" s="5" t="e">
        <f t="shared" si="310"/>
        <v>#NUM!</v>
      </c>
      <c r="J256" s="5">
        <v>249</v>
      </c>
      <c r="N256">
        <f t="shared" si="324"/>
        <v>1.8411070585500797</v>
      </c>
      <c r="O256">
        <f t="shared" si="297"/>
        <v>4.2253993131957657E-5</v>
      </c>
    </row>
    <row r="257" spans="1:19" x14ac:dyDescent="0.2">
      <c r="A257" t="e">
        <f t="shared" si="302"/>
        <v>#NUM!</v>
      </c>
      <c r="B257" t="e">
        <f t="shared" si="303"/>
        <v>#NUM!</v>
      </c>
      <c r="C257" t="e">
        <f t="shared" si="304"/>
        <v>#NUM!</v>
      </c>
      <c r="D257" t="e">
        <f t="shared" si="305"/>
        <v>#NUM!</v>
      </c>
      <c r="E257" t="e">
        <f t="shared" si="306"/>
        <v>#NUM!</v>
      </c>
      <c r="F257" t="e">
        <f t="shared" si="307"/>
        <v>#NUM!</v>
      </c>
      <c r="G257" t="e">
        <f t="shared" si="308"/>
        <v>#NUM!</v>
      </c>
      <c r="H257" s="5" t="e">
        <f t="shared" si="309"/>
        <v>#NUM!</v>
      </c>
      <c r="I257" s="5" t="e">
        <f t="shared" si="310"/>
        <v>#NUM!</v>
      </c>
      <c r="J257" s="5">
        <v>250</v>
      </c>
      <c r="N257">
        <f t="shared" si="319"/>
        <v>1.8410870583500778</v>
      </c>
      <c r="O257">
        <f t="shared" si="297"/>
        <v>-4.2253822631010962E-5</v>
      </c>
    </row>
    <row r="258" spans="1:19" x14ac:dyDescent="0.2">
      <c r="A258" t="e">
        <f t="shared" si="302"/>
        <v>#NUM!</v>
      </c>
      <c r="B258" t="e">
        <f t="shared" si="303"/>
        <v>#NUM!</v>
      </c>
      <c r="C258" t="e">
        <f t="shared" si="304"/>
        <v>#NUM!</v>
      </c>
      <c r="D258" t="e">
        <f t="shared" si="305"/>
        <v>#NUM!</v>
      </c>
      <c r="E258" t="e">
        <f t="shared" si="306"/>
        <v>#NUM!</v>
      </c>
      <c r="F258" t="e">
        <f t="shared" si="307"/>
        <v>#NUM!</v>
      </c>
      <c r="G258" t="e">
        <f t="shared" si="308"/>
        <v>#NUM!</v>
      </c>
      <c r="H258" s="5" t="e">
        <f t="shared" si="309"/>
        <v>#NUM!</v>
      </c>
      <c r="I258" s="5" t="e">
        <f t="shared" si="310"/>
        <v>#NUM!</v>
      </c>
      <c r="J258" s="5">
        <v>251</v>
      </c>
      <c r="N258" s="10">
        <f t="shared" ref="N258" si="385">Q255</f>
        <v>1.8410970584500788</v>
      </c>
      <c r="O258">
        <f t="shared" si="297"/>
        <v>0</v>
      </c>
      <c r="P258">
        <f t="shared" ref="P258:P321" si="386">(O257-O259)/(N257-N259)</f>
        <v>4.225348534256625</v>
      </c>
      <c r="Q258" s="10">
        <f t="shared" ref="Q258" si="387">N258-O258/P258</f>
        <v>1.8410970584500788</v>
      </c>
      <c r="R258">
        <v>84</v>
      </c>
      <c r="S258">
        <f t="shared" ref="S258:S321" si="388">N258</f>
        <v>1.8410970584500788</v>
      </c>
    </row>
    <row r="259" spans="1:19" x14ac:dyDescent="0.2">
      <c r="A259" t="e">
        <f t="shared" si="302"/>
        <v>#NUM!</v>
      </c>
      <c r="B259" t="e">
        <f t="shared" si="303"/>
        <v>#NUM!</v>
      </c>
      <c r="C259" t="e">
        <f t="shared" si="304"/>
        <v>#NUM!</v>
      </c>
      <c r="D259" t="e">
        <f t="shared" si="305"/>
        <v>#NUM!</v>
      </c>
      <c r="E259" t="e">
        <f t="shared" si="306"/>
        <v>#NUM!</v>
      </c>
      <c r="F259" t="e">
        <f t="shared" si="307"/>
        <v>#NUM!</v>
      </c>
      <c r="G259" t="e">
        <f t="shared" si="308"/>
        <v>#NUM!</v>
      </c>
      <c r="H259" s="5" t="e">
        <f t="shared" si="309"/>
        <v>#NUM!</v>
      </c>
      <c r="I259" s="5" t="e">
        <f t="shared" si="310"/>
        <v>#NUM!</v>
      </c>
      <c r="J259" s="5">
        <v>252</v>
      </c>
      <c r="N259">
        <f t="shared" si="324"/>
        <v>1.8411070585500797</v>
      </c>
      <c r="O259">
        <f t="shared" si="297"/>
        <v>4.2253993131957657E-5</v>
      </c>
    </row>
    <row r="260" spans="1:19" x14ac:dyDescent="0.2">
      <c r="A260" t="e">
        <f t="shared" si="302"/>
        <v>#NUM!</v>
      </c>
      <c r="B260" t="e">
        <f t="shared" si="303"/>
        <v>#NUM!</v>
      </c>
      <c r="C260" t="e">
        <f t="shared" si="304"/>
        <v>#NUM!</v>
      </c>
      <c r="D260" t="e">
        <f t="shared" si="305"/>
        <v>#NUM!</v>
      </c>
      <c r="E260" t="e">
        <f t="shared" si="306"/>
        <v>#NUM!</v>
      </c>
      <c r="F260" t="e">
        <f t="shared" si="307"/>
        <v>#NUM!</v>
      </c>
      <c r="G260" t="e">
        <f t="shared" si="308"/>
        <v>#NUM!</v>
      </c>
      <c r="H260" s="5" t="e">
        <f t="shared" si="309"/>
        <v>#NUM!</v>
      </c>
      <c r="I260" s="5" t="e">
        <f t="shared" si="310"/>
        <v>#NUM!</v>
      </c>
      <c r="J260" s="5">
        <v>253</v>
      </c>
      <c r="N260">
        <f t="shared" si="319"/>
        <v>1.8410870583500778</v>
      </c>
      <c r="O260">
        <f t="shared" si="297"/>
        <v>-4.2253822631010962E-5</v>
      </c>
    </row>
    <row r="261" spans="1:19" x14ac:dyDescent="0.2">
      <c r="A261" t="e">
        <f t="shared" si="302"/>
        <v>#NUM!</v>
      </c>
      <c r="B261" t="e">
        <f t="shared" si="303"/>
        <v>#NUM!</v>
      </c>
      <c r="C261" t="e">
        <f t="shared" si="304"/>
        <v>#NUM!</v>
      </c>
      <c r="D261" t="e">
        <f t="shared" si="305"/>
        <v>#NUM!</v>
      </c>
      <c r="E261" t="e">
        <f t="shared" si="306"/>
        <v>#NUM!</v>
      </c>
      <c r="F261" t="e">
        <f t="shared" si="307"/>
        <v>#NUM!</v>
      </c>
      <c r="G261" t="e">
        <f t="shared" si="308"/>
        <v>#NUM!</v>
      </c>
      <c r="H261" s="5" t="e">
        <f t="shared" si="309"/>
        <v>#NUM!</v>
      </c>
      <c r="I261" s="5" t="e">
        <f t="shared" si="310"/>
        <v>#NUM!</v>
      </c>
      <c r="J261" s="5">
        <v>254</v>
      </c>
      <c r="N261" s="10">
        <f t="shared" ref="N261" si="389">Q258</f>
        <v>1.8410970584500788</v>
      </c>
      <c r="O261">
        <f t="shared" si="297"/>
        <v>0</v>
      </c>
      <c r="P261">
        <f t="shared" ref="P261:P324" si="390">(O260-O262)/(N260-N262)</f>
        <v>4.225348534256625</v>
      </c>
      <c r="Q261" s="10">
        <f t="shared" ref="Q261" si="391">N261-O261/P261</f>
        <v>1.8410970584500788</v>
      </c>
      <c r="R261">
        <v>85</v>
      </c>
      <c r="S261">
        <f t="shared" ref="S261:S324" si="392">N261</f>
        <v>1.8410970584500788</v>
      </c>
    </row>
    <row r="262" spans="1:19" x14ac:dyDescent="0.2">
      <c r="A262" t="e">
        <f t="shared" si="302"/>
        <v>#NUM!</v>
      </c>
      <c r="B262" t="e">
        <f t="shared" si="303"/>
        <v>#NUM!</v>
      </c>
      <c r="C262" t="e">
        <f t="shared" si="304"/>
        <v>#NUM!</v>
      </c>
      <c r="D262" t="e">
        <f t="shared" si="305"/>
        <v>#NUM!</v>
      </c>
      <c r="E262" t="e">
        <f t="shared" si="306"/>
        <v>#NUM!</v>
      </c>
      <c r="F262" t="e">
        <f t="shared" si="307"/>
        <v>#NUM!</v>
      </c>
      <c r="G262" t="e">
        <f t="shared" si="308"/>
        <v>#NUM!</v>
      </c>
      <c r="H262" s="5" t="e">
        <f t="shared" si="309"/>
        <v>#NUM!</v>
      </c>
      <c r="I262" s="5" t="e">
        <f t="shared" si="310"/>
        <v>#NUM!</v>
      </c>
      <c r="J262" s="5">
        <v>255</v>
      </c>
      <c r="N262">
        <f t="shared" si="324"/>
        <v>1.8411070585500797</v>
      </c>
      <c r="O262">
        <f t="shared" si="297"/>
        <v>4.2253993131957657E-5</v>
      </c>
    </row>
    <row r="263" spans="1:19" x14ac:dyDescent="0.2">
      <c r="A263" t="e">
        <f t="shared" si="302"/>
        <v>#NUM!</v>
      </c>
      <c r="B263" t="e">
        <f t="shared" si="303"/>
        <v>#NUM!</v>
      </c>
      <c r="C263" t="e">
        <f t="shared" si="304"/>
        <v>#NUM!</v>
      </c>
      <c r="D263" t="e">
        <f t="shared" si="305"/>
        <v>#NUM!</v>
      </c>
      <c r="E263" t="e">
        <f t="shared" si="306"/>
        <v>#NUM!</v>
      </c>
      <c r="F263" t="e">
        <f t="shared" si="307"/>
        <v>#NUM!</v>
      </c>
      <c r="G263" t="e">
        <f t="shared" si="308"/>
        <v>#NUM!</v>
      </c>
      <c r="H263" s="5" t="e">
        <f t="shared" si="309"/>
        <v>#NUM!</v>
      </c>
      <c r="I263" s="5" t="e">
        <f t="shared" si="310"/>
        <v>#NUM!</v>
      </c>
      <c r="J263" s="5">
        <v>256</v>
      </c>
      <c r="N263">
        <f t="shared" si="319"/>
        <v>1.8410870583500778</v>
      </c>
      <c r="O263">
        <f t="shared" si="297"/>
        <v>-4.2253822631010962E-5</v>
      </c>
    </row>
    <row r="264" spans="1:19" x14ac:dyDescent="0.2">
      <c r="A264" t="e">
        <f t="shared" si="302"/>
        <v>#NUM!</v>
      </c>
      <c r="B264" t="e">
        <f t="shared" si="303"/>
        <v>#NUM!</v>
      </c>
      <c r="C264" t="e">
        <f t="shared" si="304"/>
        <v>#NUM!</v>
      </c>
      <c r="D264" t="e">
        <f t="shared" si="305"/>
        <v>#NUM!</v>
      </c>
      <c r="E264" t="e">
        <f t="shared" si="306"/>
        <v>#NUM!</v>
      </c>
      <c r="F264" t="e">
        <f t="shared" si="307"/>
        <v>#NUM!</v>
      </c>
      <c r="G264" t="e">
        <f t="shared" si="308"/>
        <v>#NUM!</v>
      </c>
      <c r="H264" s="5" t="e">
        <f t="shared" si="309"/>
        <v>#NUM!</v>
      </c>
      <c r="I264" s="5" t="e">
        <f t="shared" si="310"/>
        <v>#NUM!</v>
      </c>
      <c r="J264" s="5">
        <v>257</v>
      </c>
      <c r="N264" s="10">
        <f t="shared" ref="N264" si="393">Q261</f>
        <v>1.8410970584500788</v>
      </c>
      <c r="O264">
        <f t="shared" ref="O264:O327" si="394">N264*N264+LN(N264)-4</f>
        <v>0</v>
      </c>
      <c r="P264">
        <f t="shared" ref="P264:P327" si="395">(O263-O265)/(N263-N265)</f>
        <v>4.225348534256625</v>
      </c>
      <c r="Q264" s="10">
        <f t="shared" ref="Q264" si="396">N264-O264/P264</f>
        <v>1.8410970584500788</v>
      </c>
      <c r="R264">
        <v>86</v>
      </c>
      <c r="S264">
        <f t="shared" ref="S264:S327" si="397">N264</f>
        <v>1.8410970584500788</v>
      </c>
    </row>
    <row r="265" spans="1:19" x14ac:dyDescent="0.2">
      <c r="A265" t="e">
        <f t="shared" si="302"/>
        <v>#NUM!</v>
      </c>
      <c r="B265" t="e">
        <f t="shared" si="303"/>
        <v>#NUM!</v>
      </c>
      <c r="C265" t="e">
        <f t="shared" si="304"/>
        <v>#NUM!</v>
      </c>
      <c r="D265" t="e">
        <f t="shared" si="305"/>
        <v>#NUM!</v>
      </c>
      <c r="E265" t="e">
        <f t="shared" si="306"/>
        <v>#NUM!</v>
      </c>
      <c r="F265" t="e">
        <f t="shared" si="307"/>
        <v>#NUM!</v>
      </c>
      <c r="G265" t="e">
        <f t="shared" si="308"/>
        <v>#NUM!</v>
      </c>
      <c r="H265" s="5" t="e">
        <f t="shared" si="309"/>
        <v>#NUM!</v>
      </c>
      <c r="I265" s="5" t="e">
        <f t="shared" si="310"/>
        <v>#NUM!</v>
      </c>
      <c r="J265" s="5">
        <v>258</v>
      </c>
      <c r="N265">
        <f t="shared" si="324"/>
        <v>1.8411070585500797</v>
      </c>
      <c r="O265">
        <f t="shared" si="394"/>
        <v>4.2253993131957657E-5</v>
      </c>
    </row>
    <row r="266" spans="1:19" x14ac:dyDescent="0.2">
      <c r="A266" t="e">
        <f t="shared" ref="A266:A329" si="398">IF(B265*F265&lt;0, MIN(A265,E265), IF(D265*F265&lt;0, MIN(C265,E265)))</f>
        <v>#NUM!</v>
      </c>
      <c r="B266" t="e">
        <f t="shared" ref="B266:B329" si="399">A266*A266+LN(A266)-4</f>
        <v>#NUM!</v>
      </c>
      <c r="C266" t="e">
        <f t="shared" ref="C266:C329" si="400">IF(B265*F265&lt;0, MAX(A265,E265), IF(D265*F265&lt;0, MAX(C265,E265)))</f>
        <v>#NUM!</v>
      </c>
      <c r="D266" t="e">
        <f t="shared" ref="D266:D329" si="401">C266*C266+LN(C266)-4</f>
        <v>#NUM!</v>
      </c>
      <c r="E266" t="e">
        <f t="shared" ref="E266:E329" si="402">(A266+C266)/2</f>
        <v>#NUM!</v>
      </c>
      <c r="F266" t="e">
        <f t="shared" ref="F266:F329" si="403">E266*E266+LN(E266)-4</f>
        <v>#NUM!</v>
      </c>
      <c r="G266" t="e">
        <f t="shared" ref="G266:G329" si="404">ABS(A266-C266)</f>
        <v>#NUM!</v>
      </c>
      <c r="H266" s="5" t="e">
        <f t="shared" ref="H266:H329" si="405">IF(A266=FALSE(), 999, F266)</f>
        <v>#NUM!</v>
      </c>
      <c r="I266" s="5" t="e">
        <f t="shared" ref="I266:I329" si="406">E266</f>
        <v>#NUM!</v>
      </c>
      <c r="J266" s="5">
        <v>259</v>
      </c>
      <c r="N266">
        <f t="shared" si="319"/>
        <v>1.8410870583500778</v>
      </c>
      <c r="O266">
        <f t="shared" si="394"/>
        <v>-4.2253822631010962E-5</v>
      </c>
    </row>
    <row r="267" spans="1:19" x14ac:dyDescent="0.2">
      <c r="A267" t="e">
        <f t="shared" si="398"/>
        <v>#NUM!</v>
      </c>
      <c r="B267" t="e">
        <f t="shared" si="399"/>
        <v>#NUM!</v>
      </c>
      <c r="C267" t="e">
        <f t="shared" si="400"/>
        <v>#NUM!</v>
      </c>
      <c r="D267" t="e">
        <f t="shared" si="401"/>
        <v>#NUM!</v>
      </c>
      <c r="E267" t="e">
        <f t="shared" si="402"/>
        <v>#NUM!</v>
      </c>
      <c r="F267" t="e">
        <f t="shared" si="403"/>
        <v>#NUM!</v>
      </c>
      <c r="G267" t="e">
        <f t="shared" si="404"/>
        <v>#NUM!</v>
      </c>
      <c r="H267" s="5" t="e">
        <f t="shared" si="405"/>
        <v>#NUM!</v>
      </c>
      <c r="I267" s="5" t="e">
        <f t="shared" si="406"/>
        <v>#NUM!</v>
      </c>
      <c r="J267" s="5">
        <v>260</v>
      </c>
      <c r="N267" s="10">
        <f t="shared" ref="N267" si="407">Q264</f>
        <v>1.8410970584500788</v>
      </c>
      <c r="O267">
        <f t="shared" si="394"/>
        <v>0</v>
      </c>
      <c r="P267">
        <f t="shared" ref="P267:P330" si="408">(O266-O268)/(N266-N268)</f>
        <v>4.225348534256625</v>
      </c>
      <c r="Q267" s="10">
        <f t="shared" ref="Q267" si="409">N267-O267/P267</f>
        <v>1.8410970584500788</v>
      </c>
      <c r="R267">
        <v>87</v>
      </c>
      <c r="S267">
        <f t="shared" ref="S267:S330" si="410">N267</f>
        <v>1.8410970584500788</v>
      </c>
    </row>
    <row r="268" spans="1:19" x14ac:dyDescent="0.2">
      <c r="A268" t="e">
        <f t="shared" si="398"/>
        <v>#NUM!</v>
      </c>
      <c r="B268" t="e">
        <f t="shared" si="399"/>
        <v>#NUM!</v>
      </c>
      <c r="C268" t="e">
        <f t="shared" si="400"/>
        <v>#NUM!</v>
      </c>
      <c r="D268" t="e">
        <f t="shared" si="401"/>
        <v>#NUM!</v>
      </c>
      <c r="E268" t="e">
        <f t="shared" si="402"/>
        <v>#NUM!</v>
      </c>
      <c r="F268" t="e">
        <f t="shared" si="403"/>
        <v>#NUM!</v>
      </c>
      <c r="G268" t="e">
        <f t="shared" si="404"/>
        <v>#NUM!</v>
      </c>
      <c r="H268" s="5" t="e">
        <f t="shared" si="405"/>
        <v>#NUM!</v>
      </c>
      <c r="I268" s="5" t="e">
        <f t="shared" si="406"/>
        <v>#NUM!</v>
      </c>
      <c r="J268" s="5">
        <v>261</v>
      </c>
      <c r="N268">
        <f t="shared" si="324"/>
        <v>1.8411070585500797</v>
      </c>
      <c r="O268">
        <f t="shared" si="394"/>
        <v>4.2253993131957657E-5</v>
      </c>
    </row>
    <row r="269" spans="1:19" x14ac:dyDescent="0.2">
      <c r="A269" t="e">
        <f t="shared" si="398"/>
        <v>#NUM!</v>
      </c>
      <c r="B269" t="e">
        <f t="shared" si="399"/>
        <v>#NUM!</v>
      </c>
      <c r="C269" t="e">
        <f t="shared" si="400"/>
        <v>#NUM!</v>
      </c>
      <c r="D269" t="e">
        <f t="shared" si="401"/>
        <v>#NUM!</v>
      </c>
      <c r="E269" t="e">
        <f t="shared" si="402"/>
        <v>#NUM!</v>
      </c>
      <c r="F269" t="e">
        <f t="shared" si="403"/>
        <v>#NUM!</v>
      </c>
      <c r="G269" t="e">
        <f t="shared" si="404"/>
        <v>#NUM!</v>
      </c>
      <c r="H269" s="5" t="e">
        <f t="shared" si="405"/>
        <v>#NUM!</v>
      </c>
      <c r="I269" s="5" t="e">
        <f t="shared" si="406"/>
        <v>#NUM!</v>
      </c>
      <c r="J269" s="5">
        <v>262</v>
      </c>
      <c r="N269">
        <f t="shared" si="319"/>
        <v>1.8410870583500778</v>
      </c>
      <c r="O269">
        <f t="shared" si="394"/>
        <v>-4.2253822631010962E-5</v>
      </c>
    </row>
    <row r="270" spans="1:19" x14ac:dyDescent="0.2">
      <c r="A270" t="e">
        <f t="shared" si="398"/>
        <v>#NUM!</v>
      </c>
      <c r="B270" t="e">
        <f t="shared" si="399"/>
        <v>#NUM!</v>
      </c>
      <c r="C270" t="e">
        <f t="shared" si="400"/>
        <v>#NUM!</v>
      </c>
      <c r="D270" t="e">
        <f t="shared" si="401"/>
        <v>#NUM!</v>
      </c>
      <c r="E270" t="e">
        <f t="shared" si="402"/>
        <v>#NUM!</v>
      </c>
      <c r="F270" t="e">
        <f t="shared" si="403"/>
        <v>#NUM!</v>
      </c>
      <c r="G270" t="e">
        <f t="shared" si="404"/>
        <v>#NUM!</v>
      </c>
      <c r="H270" s="5" t="e">
        <f t="shared" si="405"/>
        <v>#NUM!</v>
      </c>
      <c r="I270" s="5" t="e">
        <f t="shared" si="406"/>
        <v>#NUM!</v>
      </c>
      <c r="J270" s="5">
        <v>263</v>
      </c>
      <c r="N270" s="10">
        <f t="shared" ref="N270" si="411">Q267</f>
        <v>1.8410970584500788</v>
      </c>
      <c r="O270">
        <f t="shared" si="394"/>
        <v>0</v>
      </c>
      <c r="P270">
        <f t="shared" ref="P270:P333" si="412">(O269-O271)/(N269-N271)</f>
        <v>4.225348534256625</v>
      </c>
      <c r="Q270" s="10">
        <f t="shared" ref="Q270" si="413">N270-O270/P270</f>
        <v>1.8410970584500788</v>
      </c>
      <c r="R270">
        <v>88</v>
      </c>
      <c r="S270">
        <f t="shared" ref="S270:S333" si="414">N270</f>
        <v>1.8410970584500788</v>
      </c>
    </row>
    <row r="271" spans="1:19" x14ac:dyDescent="0.2">
      <c r="A271" t="e">
        <f t="shared" si="398"/>
        <v>#NUM!</v>
      </c>
      <c r="B271" t="e">
        <f t="shared" si="399"/>
        <v>#NUM!</v>
      </c>
      <c r="C271" t="e">
        <f t="shared" si="400"/>
        <v>#NUM!</v>
      </c>
      <c r="D271" t="e">
        <f t="shared" si="401"/>
        <v>#NUM!</v>
      </c>
      <c r="E271" t="e">
        <f t="shared" si="402"/>
        <v>#NUM!</v>
      </c>
      <c r="F271" t="e">
        <f t="shared" si="403"/>
        <v>#NUM!</v>
      </c>
      <c r="G271" t="e">
        <f t="shared" si="404"/>
        <v>#NUM!</v>
      </c>
      <c r="H271" s="5" t="e">
        <f t="shared" si="405"/>
        <v>#NUM!</v>
      </c>
      <c r="I271" s="5" t="e">
        <f t="shared" si="406"/>
        <v>#NUM!</v>
      </c>
      <c r="J271" s="5">
        <v>264</v>
      </c>
      <c r="N271">
        <f t="shared" si="324"/>
        <v>1.8411070585500797</v>
      </c>
      <c r="O271">
        <f t="shared" si="394"/>
        <v>4.2253993131957657E-5</v>
      </c>
    </row>
    <row r="272" spans="1:19" x14ac:dyDescent="0.2">
      <c r="A272" t="e">
        <f t="shared" si="398"/>
        <v>#NUM!</v>
      </c>
      <c r="B272" t="e">
        <f t="shared" si="399"/>
        <v>#NUM!</v>
      </c>
      <c r="C272" t="e">
        <f t="shared" si="400"/>
        <v>#NUM!</v>
      </c>
      <c r="D272" t="e">
        <f t="shared" si="401"/>
        <v>#NUM!</v>
      </c>
      <c r="E272" t="e">
        <f t="shared" si="402"/>
        <v>#NUM!</v>
      </c>
      <c r="F272" t="e">
        <f t="shared" si="403"/>
        <v>#NUM!</v>
      </c>
      <c r="G272" t="e">
        <f t="shared" si="404"/>
        <v>#NUM!</v>
      </c>
      <c r="H272" s="5" t="e">
        <f t="shared" si="405"/>
        <v>#NUM!</v>
      </c>
      <c r="I272" s="5" t="e">
        <f t="shared" si="406"/>
        <v>#NUM!</v>
      </c>
      <c r="J272" s="5">
        <v>265</v>
      </c>
      <c r="N272">
        <f t="shared" si="319"/>
        <v>1.8410870583500778</v>
      </c>
      <c r="O272">
        <f t="shared" si="394"/>
        <v>-4.2253822631010962E-5</v>
      </c>
    </row>
    <row r="273" spans="1:19" x14ac:dyDescent="0.2">
      <c r="A273" t="e">
        <f t="shared" si="398"/>
        <v>#NUM!</v>
      </c>
      <c r="B273" t="e">
        <f t="shared" si="399"/>
        <v>#NUM!</v>
      </c>
      <c r="C273" t="e">
        <f t="shared" si="400"/>
        <v>#NUM!</v>
      </c>
      <c r="D273" t="e">
        <f t="shared" si="401"/>
        <v>#NUM!</v>
      </c>
      <c r="E273" t="e">
        <f t="shared" si="402"/>
        <v>#NUM!</v>
      </c>
      <c r="F273" t="e">
        <f t="shared" si="403"/>
        <v>#NUM!</v>
      </c>
      <c r="G273" t="e">
        <f t="shared" si="404"/>
        <v>#NUM!</v>
      </c>
      <c r="H273" s="5" t="e">
        <f t="shared" si="405"/>
        <v>#NUM!</v>
      </c>
      <c r="I273" s="5" t="e">
        <f t="shared" si="406"/>
        <v>#NUM!</v>
      </c>
      <c r="J273" s="5">
        <v>266</v>
      </c>
      <c r="N273" s="10">
        <f t="shared" ref="N273" si="415">Q270</f>
        <v>1.8410970584500788</v>
      </c>
      <c r="O273">
        <f t="shared" si="394"/>
        <v>0</v>
      </c>
      <c r="P273">
        <f t="shared" ref="P273:P336" si="416">(O272-O274)/(N272-N274)</f>
        <v>4.225348534256625</v>
      </c>
      <c r="Q273" s="10">
        <f t="shared" ref="Q273" si="417">N273-O273/P273</f>
        <v>1.8410970584500788</v>
      </c>
      <c r="R273">
        <v>89</v>
      </c>
      <c r="S273">
        <f t="shared" ref="S273:S336" si="418">N273</f>
        <v>1.8410970584500788</v>
      </c>
    </row>
    <row r="274" spans="1:19" x14ac:dyDescent="0.2">
      <c r="A274" t="e">
        <f t="shared" si="398"/>
        <v>#NUM!</v>
      </c>
      <c r="B274" t="e">
        <f t="shared" si="399"/>
        <v>#NUM!</v>
      </c>
      <c r="C274" t="e">
        <f t="shared" si="400"/>
        <v>#NUM!</v>
      </c>
      <c r="D274" t="e">
        <f t="shared" si="401"/>
        <v>#NUM!</v>
      </c>
      <c r="E274" t="e">
        <f t="shared" si="402"/>
        <v>#NUM!</v>
      </c>
      <c r="F274" t="e">
        <f t="shared" si="403"/>
        <v>#NUM!</v>
      </c>
      <c r="G274" t="e">
        <f t="shared" si="404"/>
        <v>#NUM!</v>
      </c>
      <c r="H274" s="5" t="e">
        <f t="shared" si="405"/>
        <v>#NUM!</v>
      </c>
      <c r="I274" s="5" t="e">
        <f t="shared" si="406"/>
        <v>#NUM!</v>
      </c>
      <c r="J274" s="5">
        <v>267</v>
      </c>
      <c r="N274">
        <f t="shared" si="324"/>
        <v>1.8411070585500797</v>
      </c>
      <c r="O274">
        <f t="shared" si="394"/>
        <v>4.2253993131957657E-5</v>
      </c>
    </row>
    <row r="275" spans="1:19" x14ac:dyDescent="0.2">
      <c r="A275" t="e">
        <f t="shared" si="398"/>
        <v>#NUM!</v>
      </c>
      <c r="B275" t="e">
        <f t="shared" si="399"/>
        <v>#NUM!</v>
      </c>
      <c r="C275" t="e">
        <f t="shared" si="400"/>
        <v>#NUM!</v>
      </c>
      <c r="D275" t="e">
        <f t="shared" si="401"/>
        <v>#NUM!</v>
      </c>
      <c r="E275" t="e">
        <f t="shared" si="402"/>
        <v>#NUM!</v>
      </c>
      <c r="F275" t="e">
        <f t="shared" si="403"/>
        <v>#NUM!</v>
      </c>
      <c r="G275" t="e">
        <f t="shared" si="404"/>
        <v>#NUM!</v>
      </c>
      <c r="H275" s="5" t="e">
        <f t="shared" si="405"/>
        <v>#NUM!</v>
      </c>
      <c r="I275" s="5" t="e">
        <f t="shared" si="406"/>
        <v>#NUM!</v>
      </c>
      <c r="J275" s="5">
        <v>268</v>
      </c>
      <c r="N275">
        <f t="shared" ref="N275:N338" si="419">N276-1/99999</f>
        <v>1.8410870583500778</v>
      </c>
      <c r="O275">
        <f t="shared" si="394"/>
        <v>-4.2253822631010962E-5</v>
      </c>
    </row>
    <row r="276" spans="1:19" x14ac:dyDescent="0.2">
      <c r="A276" t="e">
        <f t="shared" si="398"/>
        <v>#NUM!</v>
      </c>
      <c r="B276" t="e">
        <f t="shared" si="399"/>
        <v>#NUM!</v>
      </c>
      <c r="C276" t="e">
        <f t="shared" si="400"/>
        <v>#NUM!</v>
      </c>
      <c r="D276" t="e">
        <f t="shared" si="401"/>
        <v>#NUM!</v>
      </c>
      <c r="E276" t="e">
        <f t="shared" si="402"/>
        <v>#NUM!</v>
      </c>
      <c r="F276" t="e">
        <f t="shared" si="403"/>
        <v>#NUM!</v>
      </c>
      <c r="G276" t="e">
        <f t="shared" si="404"/>
        <v>#NUM!</v>
      </c>
      <c r="H276" s="5" t="e">
        <f t="shared" si="405"/>
        <v>#NUM!</v>
      </c>
      <c r="I276" s="5" t="e">
        <f t="shared" si="406"/>
        <v>#NUM!</v>
      </c>
      <c r="J276" s="5">
        <v>269</v>
      </c>
      <c r="N276" s="10">
        <f t="shared" ref="N276" si="420">Q273</f>
        <v>1.8410970584500788</v>
      </c>
      <c r="O276">
        <f t="shared" si="394"/>
        <v>0</v>
      </c>
      <c r="P276">
        <f t="shared" ref="P276:P339" si="421">(O275-O277)/(N275-N277)</f>
        <v>4.225348534256625</v>
      </c>
      <c r="Q276" s="10">
        <f t="shared" ref="Q276" si="422">N276-O276/P276</f>
        <v>1.8410970584500788</v>
      </c>
      <c r="R276">
        <v>90</v>
      </c>
      <c r="S276">
        <f t="shared" ref="S276:S339" si="423">N276</f>
        <v>1.8410970584500788</v>
      </c>
    </row>
    <row r="277" spans="1:19" x14ac:dyDescent="0.2">
      <c r="A277" t="e">
        <f t="shared" si="398"/>
        <v>#NUM!</v>
      </c>
      <c r="B277" t="e">
        <f t="shared" si="399"/>
        <v>#NUM!</v>
      </c>
      <c r="C277" t="e">
        <f t="shared" si="400"/>
        <v>#NUM!</v>
      </c>
      <c r="D277" t="e">
        <f t="shared" si="401"/>
        <v>#NUM!</v>
      </c>
      <c r="E277" t="e">
        <f t="shared" si="402"/>
        <v>#NUM!</v>
      </c>
      <c r="F277" t="e">
        <f t="shared" si="403"/>
        <v>#NUM!</v>
      </c>
      <c r="G277" t="e">
        <f t="shared" si="404"/>
        <v>#NUM!</v>
      </c>
      <c r="H277" s="5" t="e">
        <f t="shared" si="405"/>
        <v>#NUM!</v>
      </c>
      <c r="I277" s="5" t="e">
        <f t="shared" si="406"/>
        <v>#NUM!</v>
      </c>
      <c r="J277" s="5">
        <v>270</v>
      </c>
      <c r="N277">
        <f t="shared" ref="N277:N340" si="424">N276+1/99999</f>
        <v>1.8411070585500797</v>
      </c>
      <c r="O277">
        <f t="shared" si="394"/>
        <v>4.2253993131957657E-5</v>
      </c>
    </row>
    <row r="278" spans="1:19" x14ac:dyDescent="0.2">
      <c r="A278" t="e">
        <f t="shared" si="398"/>
        <v>#NUM!</v>
      </c>
      <c r="B278" t="e">
        <f t="shared" si="399"/>
        <v>#NUM!</v>
      </c>
      <c r="C278" t="e">
        <f t="shared" si="400"/>
        <v>#NUM!</v>
      </c>
      <c r="D278" t="e">
        <f t="shared" si="401"/>
        <v>#NUM!</v>
      </c>
      <c r="E278" t="e">
        <f t="shared" si="402"/>
        <v>#NUM!</v>
      </c>
      <c r="F278" t="e">
        <f t="shared" si="403"/>
        <v>#NUM!</v>
      </c>
      <c r="G278" t="e">
        <f t="shared" si="404"/>
        <v>#NUM!</v>
      </c>
      <c r="H278" s="5" t="e">
        <f t="shared" si="405"/>
        <v>#NUM!</v>
      </c>
      <c r="I278" s="5" t="e">
        <f t="shared" si="406"/>
        <v>#NUM!</v>
      </c>
      <c r="J278" s="5">
        <v>271</v>
      </c>
      <c r="N278">
        <f t="shared" si="419"/>
        <v>1.8410870583500778</v>
      </c>
      <c r="O278">
        <f t="shared" si="394"/>
        <v>-4.2253822631010962E-5</v>
      </c>
    </row>
    <row r="279" spans="1:19" x14ac:dyDescent="0.2">
      <c r="A279" t="e">
        <f t="shared" si="398"/>
        <v>#NUM!</v>
      </c>
      <c r="B279" t="e">
        <f t="shared" si="399"/>
        <v>#NUM!</v>
      </c>
      <c r="C279" t="e">
        <f t="shared" si="400"/>
        <v>#NUM!</v>
      </c>
      <c r="D279" t="e">
        <f t="shared" si="401"/>
        <v>#NUM!</v>
      </c>
      <c r="E279" t="e">
        <f t="shared" si="402"/>
        <v>#NUM!</v>
      </c>
      <c r="F279" t="e">
        <f t="shared" si="403"/>
        <v>#NUM!</v>
      </c>
      <c r="G279" t="e">
        <f t="shared" si="404"/>
        <v>#NUM!</v>
      </c>
      <c r="H279" s="5" t="e">
        <f t="shared" si="405"/>
        <v>#NUM!</v>
      </c>
      <c r="I279" s="5" t="e">
        <f t="shared" si="406"/>
        <v>#NUM!</v>
      </c>
      <c r="J279" s="5">
        <v>272</v>
      </c>
      <c r="N279" s="10">
        <f t="shared" ref="N279" si="425">Q276</f>
        <v>1.8410970584500788</v>
      </c>
      <c r="O279">
        <f t="shared" si="394"/>
        <v>0</v>
      </c>
      <c r="P279">
        <f t="shared" ref="P279:P342" si="426">(O278-O280)/(N278-N280)</f>
        <v>4.225348534256625</v>
      </c>
      <c r="Q279" s="10">
        <f t="shared" ref="Q279" si="427">N279-O279/P279</f>
        <v>1.8410970584500788</v>
      </c>
      <c r="R279">
        <v>91</v>
      </c>
      <c r="S279">
        <f t="shared" ref="S279:S342" si="428">N279</f>
        <v>1.8410970584500788</v>
      </c>
    </row>
    <row r="280" spans="1:19" x14ac:dyDescent="0.2">
      <c r="A280" t="e">
        <f t="shared" si="398"/>
        <v>#NUM!</v>
      </c>
      <c r="B280" t="e">
        <f t="shared" si="399"/>
        <v>#NUM!</v>
      </c>
      <c r="C280" t="e">
        <f t="shared" si="400"/>
        <v>#NUM!</v>
      </c>
      <c r="D280" t="e">
        <f t="shared" si="401"/>
        <v>#NUM!</v>
      </c>
      <c r="E280" t="e">
        <f t="shared" si="402"/>
        <v>#NUM!</v>
      </c>
      <c r="F280" t="e">
        <f t="shared" si="403"/>
        <v>#NUM!</v>
      </c>
      <c r="G280" t="e">
        <f t="shared" si="404"/>
        <v>#NUM!</v>
      </c>
      <c r="H280" s="5" t="e">
        <f t="shared" si="405"/>
        <v>#NUM!</v>
      </c>
      <c r="I280" s="5" t="e">
        <f t="shared" si="406"/>
        <v>#NUM!</v>
      </c>
      <c r="J280" s="5">
        <v>273</v>
      </c>
      <c r="N280">
        <f t="shared" si="424"/>
        <v>1.8411070585500797</v>
      </c>
      <c r="O280">
        <f t="shared" si="394"/>
        <v>4.2253993131957657E-5</v>
      </c>
    </row>
    <row r="281" spans="1:19" x14ac:dyDescent="0.2">
      <c r="A281" t="e">
        <f t="shared" si="398"/>
        <v>#NUM!</v>
      </c>
      <c r="B281" t="e">
        <f t="shared" si="399"/>
        <v>#NUM!</v>
      </c>
      <c r="C281" t="e">
        <f t="shared" si="400"/>
        <v>#NUM!</v>
      </c>
      <c r="D281" t="e">
        <f t="shared" si="401"/>
        <v>#NUM!</v>
      </c>
      <c r="E281" t="e">
        <f t="shared" si="402"/>
        <v>#NUM!</v>
      </c>
      <c r="F281" t="e">
        <f t="shared" si="403"/>
        <v>#NUM!</v>
      </c>
      <c r="G281" t="e">
        <f t="shared" si="404"/>
        <v>#NUM!</v>
      </c>
      <c r="H281" s="5" t="e">
        <f t="shared" si="405"/>
        <v>#NUM!</v>
      </c>
      <c r="I281" s="5" t="e">
        <f t="shared" si="406"/>
        <v>#NUM!</v>
      </c>
      <c r="J281" s="5">
        <v>274</v>
      </c>
      <c r="N281">
        <f t="shared" si="419"/>
        <v>1.8410870583500778</v>
      </c>
      <c r="O281">
        <f t="shared" si="394"/>
        <v>-4.2253822631010962E-5</v>
      </c>
    </row>
    <row r="282" spans="1:19" x14ac:dyDescent="0.2">
      <c r="A282" t="e">
        <f t="shared" si="398"/>
        <v>#NUM!</v>
      </c>
      <c r="B282" t="e">
        <f t="shared" si="399"/>
        <v>#NUM!</v>
      </c>
      <c r="C282" t="e">
        <f t="shared" si="400"/>
        <v>#NUM!</v>
      </c>
      <c r="D282" t="e">
        <f t="shared" si="401"/>
        <v>#NUM!</v>
      </c>
      <c r="E282" t="e">
        <f t="shared" si="402"/>
        <v>#NUM!</v>
      </c>
      <c r="F282" t="e">
        <f t="shared" si="403"/>
        <v>#NUM!</v>
      </c>
      <c r="G282" t="e">
        <f t="shared" si="404"/>
        <v>#NUM!</v>
      </c>
      <c r="H282" s="5" t="e">
        <f t="shared" si="405"/>
        <v>#NUM!</v>
      </c>
      <c r="I282" s="5" t="e">
        <f t="shared" si="406"/>
        <v>#NUM!</v>
      </c>
      <c r="J282" s="5">
        <v>275</v>
      </c>
      <c r="N282" s="10">
        <f t="shared" ref="N282" si="429">Q279</f>
        <v>1.8410970584500788</v>
      </c>
      <c r="O282">
        <f t="shared" si="394"/>
        <v>0</v>
      </c>
      <c r="P282">
        <f t="shared" ref="P282:P345" si="430">(O281-O283)/(N281-N283)</f>
        <v>4.225348534256625</v>
      </c>
      <c r="Q282" s="10">
        <f t="shared" ref="Q282" si="431">N282-O282/P282</f>
        <v>1.8410970584500788</v>
      </c>
      <c r="R282">
        <v>92</v>
      </c>
      <c r="S282">
        <f t="shared" ref="S282:S345" si="432">N282</f>
        <v>1.8410970584500788</v>
      </c>
    </row>
    <row r="283" spans="1:19" x14ac:dyDescent="0.2">
      <c r="A283" t="e">
        <f t="shared" si="398"/>
        <v>#NUM!</v>
      </c>
      <c r="B283" t="e">
        <f t="shared" si="399"/>
        <v>#NUM!</v>
      </c>
      <c r="C283" t="e">
        <f t="shared" si="400"/>
        <v>#NUM!</v>
      </c>
      <c r="D283" t="e">
        <f t="shared" si="401"/>
        <v>#NUM!</v>
      </c>
      <c r="E283" t="e">
        <f t="shared" si="402"/>
        <v>#NUM!</v>
      </c>
      <c r="F283" t="e">
        <f t="shared" si="403"/>
        <v>#NUM!</v>
      </c>
      <c r="G283" t="e">
        <f t="shared" si="404"/>
        <v>#NUM!</v>
      </c>
      <c r="H283" s="5" t="e">
        <f t="shared" si="405"/>
        <v>#NUM!</v>
      </c>
      <c r="I283" s="5" t="e">
        <f t="shared" si="406"/>
        <v>#NUM!</v>
      </c>
      <c r="J283" s="5">
        <v>276</v>
      </c>
      <c r="N283">
        <f t="shared" si="424"/>
        <v>1.8411070585500797</v>
      </c>
      <c r="O283">
        <f t="shared" si="394"/>
        <v>4.2253993131957657E-5</v>
      </c>
    </row>
    <row r="284" spans="1:19" x14ac:dyDescent="0.2">
      <c r="A284" t="e">
        <f t="shared" si="398"/>
        <v>#NUM!</v>
      </c>
      <c r="B284" t="e">
        <f t="shared" si="399"/>
        <v>#NUM!</v>
      </c>
      <c r="C284" t="e">
        <f t="shared" si="400"/>
        <v>#NUM!</v>
      </c>
      <c r="D284" t="e">
        <f t="shared" si="401"/>
        <v>#NUM!</v>
      </c>
      <c r="E284" t="e">
        <f t="shared" si="402"/>
        <v>#NUM!</v>
      </c>
      <c r="F284" t="e">
        <f t="shared" si="403"/>
        <v>#NUM!</v>
      </c>
      <c r="G284" t="e">
        <f t="shared" si="404"/>
        <v>#NUM!</v>
      </c>
      <c r="H284" s="5" t="e">
        <f t="shared" si="405"/>
        <v>#NUM!</v>
      </c>
      <c r="I284" s="5" t="e">
        <f t="shared" si="406"/>
        <v>#NUM!</v>
      </c>
      <c r="J284" s="5">
        <v>277</v>
      </c>
      <c r="N284">
        <f t="shared" si="419"/>
        <v>1.8410870583500778</v>
      </c>
      <c r="O284">
        <f t="shared" si="394"/>
        <v>-4.2253822631010962E-5</v>
      </c>
    </row>
    <row r="285" spans="1:19" x14ac:dyDescent="0.2">
      <c r="A285" t="e">
        <f t="shared" si="398"/>
        <v>#NUM!</v>
      </c>
      <c r="B285" t="e">
        <f t="shared" si="399"/>
        <v>#NUM!</v>
      </c>
      <c r="C285" t="e">
        <f t="shared" si="400"/>
        <v>#NUM!</v>
      </c>
      <c r="D285" t="e">
        <f t="shared" si="401"/>
        <v>#NUM!</v>
      </c>
      <c r="E285" t="e">
        <f t="shared" si="402"/>
        <v>#NUM!</v>
      </c>
      <c r="F285" t="e">
        <f t="shared" si="403"/>
        <v>#NUM!</v>
      </c>
      <c r="G285" t="e">
        <f t="shared" si="404"/>
        <v>#NUM!</v>
      </c>
      <c r="H285" s="5" t="e">
        <f t="shared" si="405"/>
        <v>#NUM!</v>
      </c>
      <c r="I285" s="5" t="e">
        <f t="shared" si="406"/>
        <v>#NUM!</v>
      </c>
      <c r="J285" s="5">
        <v>278</v>
      </c>
      <c r="N285" s="10">
        <f t="shared" ref="N285" si="433">Q282</f>
        <v>1.8410970584500788</v>
      </c>
      <c r="O285">
        <f t="shared" si="394"/>
        <v>0</v>
      </c>
      <c r="P285">
        <f t="shared" ref="P285:P348" si="434">(O284-O286)/(N284-N286)</f>
        <v>4.225348534256625</v>
      </c>
      <c r="Q285" s="10">
        <f t="shared" ref="Q285" si="435">N285-O285/P285</f>
        <v>1.8410970584500788</v>
      </c>
      <c r="R285">
        <v>93</v>
      </c>
      <c r="S285">
        <f t="shared" ref="S285:S348" si="436">N285</f>
        <v>1.8410970584500788</v>
      </c>
    </row>
    <row r="286" spans="1:19" x14ac:dyDescent="0.2">
      <c r="A286" t="e">
        <f t="shared" si="398"/>
        <v>#NUM!</v>
      </c>
      <c r="B286" t="e">
        <f t="shared" si="399"/>
        <v>#NUM!</v>
      </c>
      <c r="C286" t="e">
        <f t="shared" si="400"/>
        <v>#NUM!</v>
      </c>
      <c r="D286" t="e">
        <f t="shared" si="401"/>
        <v>#NUM!</v>
      </c>
      <c r="E286" t="e">
        <f t="shared" si="402"/>
        <v>#NUM!</v>
      </c>
      <c r="F286" t="e">
        <f t="shared" si="403"/>
        <v>#NUM!</v>
      </c>
      <c r="G286" t="e">
        <f t="shared" si="404"/>
        <v>#NUM!</v>
      </c>
      <c r="H286" s="5" t="e">
        <f t="shared" si="405"/>
        <v>#NUM!</v>
      </c>
      <c r="I286" s="5" t="e">
        <f t="shared" si="406"/>
        <v>#NUM!</v>
      </c>
      <c r="J286" s="5">
        <v>279</v>
      </c>
      <c r="N286">
        <f t="shared" si="424"/>
        <v>1.8411070585500797</v>
      </c>
      <c r="O286">
        <f t="shared" si="394"/>
        <v>4.2253993131957657E-5</v>
      </c>
    </row>
    <row r="287" spans="1:19" x14ac:dyDescent="0.2">
      <c r="A287" t="e">
        <f t="shared" si="398"/>
        <v>#NUM!</v>
      </c>
      <c r="B287" t="e">
        <f t="shared" si="399"/>
        <v>#NUM!</v>
      </c>
      <c r="C287" t="e">
        <f t="shared" si="400"/>
        <v>#NUM!</v>
      </c>
      <c r="D287" t="e">
        <f t="shared" si="401"/>
        <v>#NUM!</v>
      </c>
      <c r="E287" t="e">
        <f t="shared" si="402"/>
        <v>#NUM!</v>
      </c>
      <c r="F287" t="e">
        <f t="shared" si="403"/>
        <v>#NUM!</v>
      </c>
      <c r="G287" t="e">
        <f t="shared" si="404"/>
        <v>#NUM!</v>
      </c>
      <c r="H287" s="5" t="e">
        <f t="shared" si="405"/>
        <v>#NUM!</v>
      </c>
      <c r="I287" s="5" t="e">
        <f t="shared" si="406"/>
        <v>#NUM!</v>
      </c>
      <c r="J287" s="5">
        <v>280</v>
      </c>
      <c r="N287">
        <f t="shared" si="419"/>
        <v>1.8410870583500778</v>
      </c>
      <c r="O287">
        <f t="shared" si="394"/>
        <v>-4.2253822631010962E-5</v>
      </c>
    </row>
    <row r="288" spans="1:19" x14ac:dyDescent="0.2">
      <c r="A288" t="e">
        <f t="shared" si="398"/>
        <v>#NUM!</v>
      </c>
      <c r="B288" t="e">
        <f t="shared" si="399"/>
        <v>#NUM!</v>
      </c>
      <c r="C288" t="e">
        <f t="shared" si="400"/>
        <v>#NUM!</v>
      </c>
      <c r="D288" t="e">
        <f t="shared" si="401"/>
        <v>#NUM!</v>
      </c>
      <c r="E288" t="e">
        <f t="shared" si="402"/>
        <v>#NUM!</v>
      </c>
      <c r="F288" t="e">
        <f t="shared" si="403"/>
        <v>#NUM!</v>
      </c>
      <c r="G288" t="e">
        <f t="shared" si="404"/>
        <v>#NUM!</v>
      </c>
      <c r="H288" s="5" t="e">
        <f t="shared" si="405"/>
        <v>#NUM!</v>
      </c>
      <c r="I288" s="5" t="e">
        <f t="shared" si="406"/>
        <v>#NUM!</v>
      </c>
      <c r="J288" s="5">
        <v>281</v>
      </c>
      <c r="N288" s="10">
        <f t="shared" ref="N288" si="437">Q285</f>
        <v>1.8410970584500788</v>
      </c>
      <c r="O288">
        <f t="shared" si="394"/>
        <v>0</v>
      </c>
      <c r="P288">
        <f t="shared" ref="P288:P351" si="438">(O287-O289)/(N287-N289)</f>
        <v>4.225348534256625</v>
      </c>
      <c r="Q288" s="10">
        <f t="shared" ref="Q288" si="439">N288-O288/P288</f>
        <v>1.8410970584500788</v>
      </c>
      <c r="R288">
        <v>94</v>
      </c>
      <c r="S288">
        <f t="shared" ref="S288:S351" si="440">N288</f>
        <v>1.8410970584500788</v>
      </c>
    </row>
    <row r="289" spans="1:19" x14ac:dyDescent="0.2">
      <c r="A289" t="e">
        <f t="shared" si="398"/>
        <v>#NUM!</v>
      </c>
      <c r="B289" t="e">
        <f t="shared" si="399"/>
        <v>#NUM!</v>
      </c>
      <c r="C289" t="e">
        <f t="shared" si="400"/>
        <v>#NUM!</v>
      </c>
      <c r="D289" t="e">
        <f t="shared" si="401"/>
        <v>#NUM!</v>
      </c>
      <c r="E289" t="e">
        <f t="shared" si="402"/>
        <v>#NUM!</v>
      </c>
      <c r="F289" t="e">
        <f t="shared" si="403"/>
        <v>#NUM!</v>
      </c>
      <c r="G289" t="e">
        <f t="shared" si="404"/>
        <v>#NUM!</v>
      </c>
      <c r="H289" s="5" t="e">
        <f t="shared" si="405"/>
        <v>#NUM!</v>
      </c>
      <c r="I289" s="5" t="e">
        <f t="shared" si="406"/>
        <v>#NUM!</v>
      </c>
      <c r="J289" s="5">
        <v>282</v>
      </c>
      <c r="N289">
        <f t="shared" si="424"/>
        <v>1.8411070585500797</v>
      </c>
      <c r="O289">
        <f t="shared" si="394"/>
        <v>4.2253993131957657E-5</v>
      </c>
    </row>
    <row r="290" spans="1:19" x14ac:dyDescent="0.2">
      <c r="A290" t="e">
        <f t="shared" si="398"/>
        <v>#NUM!</v>
      </c>
      <c r="B290" t="e">
        <f t="shared" si="399"/>
        <v>#NUM!</v>
      </c>
      <c r="C290" t="e">
        <f t="shared" si="400"/>
        <v>#NUM!</v>
      </c>
      <c r="D290" t="e">
        <f t="shared" si="401"/>
        <v>#NUM!</v>
      </c>
      <c r="E290" t="e">
        <f t="shared" si="402"/>
        <v>#NUM!</v>
      </c>
      <c r="F290" t="e">
        <f t="shared" si="403"/>
        <v>#NUM!</v>
      </c>
      <c r="G290" t="e">
        <f t="shared" si="404"/>
        <v>#NUM!</v>
      </c>
      <c r="H290" s="5" t="e">
        <f t="shared" si="405"/>
        <v>#NUM!</v>
      </c>
      <c r="I290" s="5" t="e">
        <f t="shared" si="406"/>
        <v>#NUM!</v>
      </c>
      <c r="J290" s="5">
        <v>283</v>
      </c>
      <c r="N290">
        <f t="shared" si="419"/>
        <v>1.8410870583500778</v>
      </c>
      <c r="O290">
        <f t="shared" si="394"/>
        <v>-4.2253822631010962E-5</v>
      </c>
    </row>
    <row r="291" spans="1:19" x14ac:dyDescent="0.2">
      <c r="A291" t="e">
        <f t="shared" si="398"/>
        <v>#NUM!</v>
      </c>
      <c r="B291" t="e">
        <f t="shared" si="399"/>
        <v>#NUM!</v>
      </c>
      <c r="C291" t="e">
        <f t="shared" si="400"/>
        <v>#NUM!</v>
      </c>
      <c r="D291" t="e">
        <f t="shared" si="401"/>
        <v>#NUM!</v>
      </c>
      <c r="E291" t="e">
        <f t="shared" si="402"/>
        <v>#NUM!</v>
      </c>
      <c r="F291" t="e">
        <f t="shared" si="403"/>
        <v>#NUM!</v>
      </c>
      <c r="G291" t="e">
        <f t="shared" si="404"/>
        <v>#NUM!</v>
      </c>
      <c r="H291" s="5" t="e">
        <f t="shared" si="405"/>
        <v>#NUM!</v>
      </c>
      <c r="I291" s="5" t="e">
        <f t="shared" si="406"/>
        <v>#NUM!</v>
      </c>
      <c r="J291" s="5">
        <v>284</v>
      </c>
      <c r="N291" s="10">
        <f t="shared" ref="N291" si="441">Q288</f>
        <v>1.8410970584500788</v>
      </c>
      <c r="O291">
        <f t="shared" si="394"/>
        <v>0</v>
      </c>
      <c r="P291">
        <f t="shared" ref="P291:P354" si="442">(O290-O292)/(N290-N292)</f>
        <v>4.225348534256625</v>
      </c>
      <c r="Q291" s="10">
        <f t="shared" ref="Q291" si="443">N291-O291/P291</f>
        <v>1.8410970584500788</v>
      </c>
      <c r="R291">
        <v>95</v>
      </c>
      <c r="S291">
        <f t="shared" ref="S291:S354" si="444">N291</f>
        <v>1.8410970584500788</v>
      </c>
    </row>
    <row r="292" spans="1:19" x14ac:dyDescent="0.2">
      <c r="A292" t="e">
        <f t="shared" si="398"/>
        <v>#NUM!</v>
      </c>
      <c r="B292" t="e">
        <f t="shared" si="399"/>
        <v>#NUM!</v>
      </c>
      <c r="C292" t="e">
        <f t="shared" si="400"/>
        <v>#NUM!</v>
      </c>
      <c r="D292" t="e">
        <f t="shared" si="401"/>
        <v>#NUM!</v>
      </c>
      <c r="E292" t="e">
        <f t="shared" si="402"/>
        <v>#NUM!</v>
      </c>
      <c r="F292" t="e">
        <f t="shared" si="403"/>
        <v>#NUM!</v>
      </c>
      <c r="G292" t="e">
        <f t="shared" si="404"/>
        <v>#NUM!</v>
      </c>
      <c r="H292" s="5" t="e">
        <f t="shared" si="405"/>
        <v>#NUM!</v>
      </c>
      <c r="I292" s="5" t="e">
        <f t="shared" si="406"/>
        <v>#NUM!</v>
      </c>
      <c r="J292" s="5">
        <v>285</v>
      </c>
      <c r="N292">
        <f t="shared" si="424"/>
        <v>1.8411070585500797</v>
      </c>
      <c r="O292">
        <f t="shared" si="394"/>
        <v>4.2253993131957657E-5</v>
      </c>
    </row>
    <row r="293" spans="1:19" x14ac:dyDescent="0.2">
      <c r="A293" t="e">
        <f t="shared" si="398"/>
        <v>#NUM!</v>
      </c>
      <c r="B293" t="e">
        <f t="shared" si="399"/>
        <v>#NUM!</v>
      </c>
      <c r="C293" t="e">
        <f t="shared" si="400"/>
        <v>#NUM!</v>
      </c>
      <c r="D293" t="e">
        <f t="shared" si="401"/>
        <v>#NUM!</v>
      </c>
      <c r="E293" t="e">
        <f t="shared" si="402"/>
        <v>#NUM!</v>
      </c>
      <c r="F293" t="e">
        <f t="shared" si="403"/>
        <v>#NUM!</v>
      </c>
      <c r="G293" t="e">
        <f t="shared" si="404"/>
        <v>#NUM!</v>
      </c>
      <c r="H293" s="5" t="e">
        <f t="shared" si="405"/>
        <v>#NUM!</v>
      </c>
      <c r="I293" s="5" t="e">
        <f t="shared" si="406"/>
        <v>#NUM!</v>
      </c>
      <c r="J293" s="5">
        <v>286</v>
      </c>
      <c r="N293">
        <f t="shared" si="419"/>
        <v>1.8410870583500778</v>
      </c>
      <c r="O293">
        <f t="shared" si="394"/>
        <v>-4.2253822631010962E-5</v>
      </c>
    </row>
    <row r="294" spans="1:19" x14ac:dyDescent="0.2">
      <c r="A294" t="e">
        <f t="shared" si="398"/>
        <v>#NUM!</v>
      </c>
      <c r="B294" t="e">
        <f t="shared" si="399"/>
        <v>#NUM!</v>
      </c>
      <c r="C294" t="e">
        <f t="shared" si="400"/>
        <v>#NUM!</v>
      </c>
      <c r="D294" t="e">
        <f t="shared" si="401"/>
        <v>#NUM!</v>
      </c>
      <c r="E294" t="e">
        <f t="shared" si="402"/>
        <v>#NUM!</v>
      </c>
      <c r="F294" t="e">
        <f t="shared" si="403"/>
        <v>#NUM!</v>
      </c>
      <c r="G294" t="e">
        <f t="shared" si="404"/>
        <v>#NUM!</v>
      </c>
      <c r="H294" s="5" t="e">
        <f t="shared" si="405"/>
        <v>#NUM!</v>
      </c>
      <c r="I294" s="5" t="e">
        <f t="shared" si="406"/>
        <v>#NUM!</v>
      </c>
      <c r="J294" s="5">
        <v>287</v>
      </c>
      <c r="N294" s="10">
        <f t="shared" ref="N294" si="445">Q291</f>
        <v>1.8410970584500788</v>
      </c>
      <c r="O294">
        <f t="shared" si="394"/>
        <v>0</v>
      </c>
      <c r="P294">
        <f t="shared" ref="P294:P357" si="446">(O293-O295)/(N293-N295)</f>
        <v>4.225348534256625</v>
      </c>
      <c r="Q294" s="10">
        <f t="shared" ref="Q294" si="447">N294-O294/P294</f>
        <v>1.8410970584500788</v>
      </c>
      <c r="R294">
        <v>96</v>
      </c>
      <c r="S294">
        <f t="shared" ref="S294:S357" si="448">N294</f>
        <v>1.8410970584500788</v>
      </c>
    </row>
    <row r="295" spans="1:19" x14ac:dyDescent="0.2">
      <c r="A295" t="e">
        <f t="shared" si="398"/>
        <v>#NUM!</v>
      </c>
      <c r="B295" t="e">
        <f t="shared" si="399"/>
        <v>#NUM!</v>
      </c>
      <c r="C295" t="e">
        <f t="shared" si="400"/>
        <v>#NUM!</v>
      </c>
      <c r="D295" t="e">
        <f t="shared" si="401"/>
        <v>#NUM!</v>
      </c>
      <c r="E295" t="e">
        <f t="shared" si="402"/>
        <v>#NUM!</v>
      </c>
      <c r="F295" t="e">
        <f t="shared" si="403"/>
        <v>#NUM!</v>
      </c>
      <c r="G295" t="e">
        <f t="shared" si="404"/>
        <v>#NUM!</v>
      </c>
      <c r="H295" s="5" t="e">
        <f t="shared" si="405"/>
        <v>#NUM!</v>
      </c>
      <c r="I295" s="5" t="e">
        <f t="shared" si="406"/>
        <v>#NUM!</v>
      </c>
      <c r="J295" s="5">
        <v>288</v>
      </c>
      <c r="N295">
        <f t="shared" si="424"/>
        <v>1.8411070585500797</v>
      </c>
      <c r="O295">
        <f t="shared" si="394"/>
        <v>4.2253993131957657E-5</v>
      </c>
    </row>
    <row r="296" spans="1:19" x14ac:dyDescent="0.2">
      <c r="A296" t="e">
        <f t="shared" si="398"/>
        <v>#NUM!</v>
      </c>
      <c r="B296" t="e">
        <f t="shared" si="399"/>
        <v>#NUM!</v>
      </c>
      <c r="C296" t="e">
        <f t="shared" si="400"/>
        <v>#NUM!</v>
      </c>
      <c r="D296" t="e">
        <f t="shared" si="401"/>
        <v>#NUM!</v>
      </c>
      <c r="E296" t="e">
        <f t="shared" si="402"/>
        <v>#NUM!</v>
      </c>
      <c r="F296" t="e">
        <f t="shared" si="403"/>
        <v>#NUM!</v>
      </c>
      <c r="G296" t="e">
        <f t="shared" si="404"/>
        <v>#NUM!</v>
      </c>
      <c r="H296" s="5" t="e">
        <f t="shared" si="405"/>
        <v>#NUM!</v>
      </c>
      <c r="I296" s="5" t="e">
        <f t="shared" si="406"/>
        <v>#NUM!</v>
      </c>
      <c r="J296" s="5">
        <v>289</v>
      </c>
      <c r="N296">
        <f t="shared" si="419"/>
        <v>1.8410870583500778</v>
      </c>
      <c r="O296">
        <f t="shared" si="394"/>
        <v>-4.2253822631010962E-5</v>
      </c>
    </row>
    <row r="297" spans="1:19" x14ac:dyDescent="0.2">
      <c r="A297" t="e">
        <f t="shared" si="398"/>
        <v>#NUM!</v>
      </c>
      <c r="B297" t="e">
        <f t="shared" si="399"/>
        <v>#NUM!</v>
      </c>
      <c r="C297" t="e">
        <f t="shared" si="400"/>
        <v>#NUM!</v>
      </c>
      <c r="D297" t="e">
        <f t="shared" si="401"/>
        <v>#NUM!</v>
      </c>
      <c r="E297" t="e">
        <f t="shared" si="402"/>
        <v>#NUM!</v>
      </c>
      <c r="F297" t="e">
        <f t="shared" si="403"/>
        <v>#NUM!</v>
      </c>
      <c r="G297" t="e">
        <f t="shared" si="404"/>
        <v>#NUM!</v>
      </c>
      <c r="H297" s="5" t="e">
        <f t="shared" si="405"/>
        <v>#NUM!</v>
      </c>
      <c r="I297" s="5" t="e">
        <f t="shared" si="406"/>
        <v>#NUM!</v>
      </c>
      <c r="J297" s="5">
        <v>290</v>
      </c>
      <c r="N297" s="10">
        <f t="shared" ref="N297" si="449">Q294</f>
        <v>1.8410970584500788</v>
      </c>
      <c r="O297">
        <f t="shared" si="394"/>
        <v>0</v>
      </c>
      <c r="P297">
        <f t="shared" ref="P297:P360" si="450">(O296-O298)/(N296-N298)</f>
        <v>4.225348534256625</v>
      </c>
      <c r="Q297" s="10">
        <f t="shared" ref="Q297" si="451">N297-O297/P297</f>
        <v>1.8410970584500788</v>
      </c>
      <c r="R297">
        <v>97</v>
      </c>
      <c r="S297">
        <f t="shared" ref="S297:S360" si="452">N297</f>
        <v>1.8410970584500788</v>
      </c>
    </row>
    <row r="298" spans="1:19" x14ac:dyDescent="0.2">
      <c r="A298" t="e">
        <f t="shared" si="398"/>
        <v>#NUM!</v>
      </c>
      <c r="B298" t="e">
        <f t="shared" si="399"/>
        <v>#NUM!</v>
      </c>
      <c r="C298" t="e">
        <f t="shared" si="400"/>
        <v>#NUM!</v>
      </c>
      <c r="D298" t="e">
        <f t="shared" si="401"/>
        <v>#NUM!</v>
      </c>
      <c r="E298" t="e">
        <f t="shared" si="402"/>
        <v>#NUM!</v>
      </c>
      <c r="F298" t="e">
        <f t="shared" si="403"/>
        <v>#NUM!</v>
      </c>
      <c r="G298" t="e">
        <f t="shared" si="404"/>
        <v>#NUM!</v>
      </c>
      <c r="H298" s="5" t="e">
        <f t="shared" si="405"/>
        <v>#NUM!</v>
      </c>
      <c r="I298" s="5" t="e">
        <f t="shared" si="406"/>
        <v>#NUM!</v>
      </c>
      <c r="J298" s="5">
        <v>291</v>
      </c>
      <c r="N298">
        <f t="shared" si="424"/>
        <v>1.8411070585500797</v>
      </c>
      <c r="O298">
        <f t="shared" si="394"/>
        <v>4.2253993131957657E-5</v>
      </c>
    </row>
    <row r="299" spans="1:19" x14ac:dyDescent="0.2">
      <c r="A299" t="e">
        <f t="shared" si="398"/>
        <v>#NUM!</v>
      </c>
      <c r="B299" t="e">
        <f t="shared" si="399"/>
        <v>#NUM!</v>
      </c>
      <c r="C299" t="e">
        <f t="shared" si="400"/>
        <v>#NUM!</v>
      </c>
      <c r="D299" t="e">
        <f t="shared" si="401"/>
        <v>#NUM!</v>
      </c>
      <c r="E299" t="e">
        <f t="shared" si="402"/>
        <v>#NUM!</v>
      </c>
      <c r="F299" t="e">
        <f t="shared" si="403"/>
        <v>#NUM!</v>
      </c>
      <c r="G299" t="e">
        <f t="shared" si="404"/>
        <v>#NUM!</v>
      </c>
      <c r="H299" s="5" t="e">
        <f t="shared" si="405"/>
        <v>#NUM!</v>
      </c>
      <c r="I299" s="5" t="e">
        <f t="shared" si="406"/>
        <v>#NUM!</v>
      </c>
      <c r="J299" s="5">
        <v>292</v>
      </c>
      <c r="N299">
        <f t="shared" si="419"/>
        <v>1.8410870583500778</v>
      </c>
      <c r="O299">
        <f t="shared" si="394"/>
        <v>-4.2253822631010962E-5</v>
      </c>
    </row>
    <row r="300" spans="1:19" x14ac:dyDescent="0.2">
      <c r="A300" t="e">
        <f t="shared" si="398"/>
        <v>#NUM!</v>
      </c>
      <c r="B300" t="e">
        <f t="shared" si="399"/>
        <v>#NUM!</v>
      </c>
      <c r="C300" t="e">
        <f t="shared" si="400"/>
        <v>#NUM!</v>
      </c>
      <c r="D300" t="e">
        <f t="shared" si="401"/>
        <v>#NUM!</v>
      </c>
      <c r="E300" t="e">
        <f t="shared" si="402"/>
        <v>#NUM!</v>
      </c>
      <c r="F300" t="e">
        <f t="shared" si="403"/>
        <v>#NUM!</v>
      </c>
      <c r="G300" t="e">
        <f t="shared" si="404"/>
        <v>#NUM!</v>
      </c>
      <c r="H300" s="5" t="e">
        <f t="shared" si="405"/>
        <v>#NUM!</v>
      </c>
      <c r="I300" s="5" t="e">
        <f t="shared" si="406"/>
        <v>#NUM!</v>
      </c>
      <c r="J300" s="5">
        <v>293</v>
      </c>
      <c r="N300" s="10">
        <f t="shared" ref="N300" si="453">Q297</f>
        <v>1.8410970584500788</v>
      </c>
      <c r="O300">
        <f t="shared" si="394"/>
        <v>0</v>
      </c>
      <c r="P300">
        <f t="shared" ref="P300:P363" si="454">(O299-O301)/(N299-N301)</f>
        <v>4.225348534256625</v>
      </c>
      <c r="Q300" s="10">
        <f t="shared" ref="Q300" si="455">N300-O300/P300</f>
        <v>1.8410970584500788</v>
      </c>
      <c r="R300">
        <v>98</v>
      </c>
      <c r="S300">
        <f t="shared" ref="S300:S363" si="456">N300</f>
        <v>1.8410970584500788</v>
      </c>
    </row>
    <row r="301" spans="1:19" x14ac:dyDescent="0.2">
      <c r="A301" t="e">
        <f t="shared" si="398"/>
        <v>#NUM!</v>
      </c>
      <c r="B301" t="e">
        <f t="shared" si="399"/>
        <v>#NUM!</v>
      </c>
      <c r="C301" t="e">
        <f t="shared" si="400"/>
        <v>#NUM!</v>
      </c>
      <c r="D301" t="e">
        <f t="shared" si="401"/>
        <v>#NUM!</v>
      </c>
      <c r="E301" t="e">
        <f t="shared" si="402"/>
        <v>#NUM!</v>
      </c>
      <c r="F301" t="e">
        <f t="shared" si="403"/>
        <v>#NUM!</v>
      </c>
      <c r="G301" t="e">
        <f t="shared" si="404"/>
        <v>#NUM!</v>
      </c>
      <c r="H301" s="5" t="e">
        <f t="shared" si="405"/>
        <v>#NUM!</v>
      </c>
      <c r="I301" s="5" t="e">
        <f t="shared" si="406"/>
        <v>#NUM!</v>
      </c>
      <c r="J301" s="5">
        <v>294</v>
      </c>
      <c r="N301">
        <f t="shared" si="424"/>
        <v>1.8411070585500797</v>
      </c>
      <c r="O301">
        <f t="shared" si="394"/>
        <v>4.2253993131957657E-5</v>
      </c>
    </row>
    <row r="302" spans="1:19" x14ac:dyDescent="0.2">
      <c r="A302" t="e">
        <f t="shared" si="398"/>
        <v>#NUM!</v>
      </c>
      <c r="B302" t="e">
        <f t="shared" si="399"/>
        <v>#NUM!</v>
      </c>
      <c r="C302" t="e">
        <f t="shared" si="400"/>
        <v>#NUM!</v>
      </c>
      <c r="D302" t="e">
        <f t="shared" si="401"/>
        <v>#NUM!</v>
      </c>
      <c r="E302" t="e">
        <f t="shared" si="402"/>
        <v>#NUM!</v>
      </c>
      <c r="F302" t="e">
        <f t="shared" si="403"/>
        <v>#NUM!</v>
      </c>
      <c r="G302" t="e">
        <f t="shared" si="404"/>
        <v>#NUM!</v>
      </c>
      <c r="H302" s="5" t="e">
        <f t="shared" si="405"/>
        <v>#NUM!</v>
      </c>
      <c r="I302" s="5" t="e">
        <f t="shared" si="406"/>
        <v>#NUM!</v>
      </c>
      <c r="J302" s="5">
        <v>295</v>
      </c>
      <c r="N302">
        <f t="shared" si="419"/>
        <v>1.8410870583500778</v>
      </c>
      <c r="O302">
        <f t="shared" si="394"/>
        <v>-4.2253822631010962E-5</v>
      </c>
    </row>
    <row r="303" spans="1:19" x14ac:dyDescent="0.2">
      <c r="A303" t="e">
        <f t="shared" si="398"/>
        <v>#NUM!</v>
      </c>
      <c r="B303" t="e">
        <f t="shared" si="399"/>
        <v>#NUM!</v>
      </c>
      <c r="C303" t="e">
        <f t="shared" si="400"/>
        <v>#NUM!</v>
      </c>
      <c r="D303" t="e">
        <f t="shared" si="401"/>
        <v>#NUM!</v>
      </c>
      <c r="E303" t="e">
        <f t="shared" si="402"/>
        <v>#NUM!</v>
      </c>
      <c r="F303" t="e">
        <f t="shared" si="403"/>
        <v>#NUM!</v>
      </c>
      <c r="G303" t="e">
        <f t="shared" si="404"/>
        <v>#NUM!</v>
      </c>
      <c r="H303" s="5" t="e">
        <f t="shared" si="405"/>
        <v>#NUM!</v>
      </c>
      <c r="I303" s="5" t="e">
        <f t="shared" si="406"/>
        <v>#NUM!</v>
      </c>
      <c r="J303" s="5">
        <v>296</v>
      </c>
      <c r="N303" s="10">
        <f t="shared" ref="N303" si="457">Q300</f>
        <v>1.8410970584500788</v>
      </c>
      <c r="O303">
        <f t="shared" si="394"/>
        <v>0</v>
      </c>
      <c r="P303">
        <f t="shared" ref="P303:P334" si="458">(O302-O304)/(N302-N304)</f>
        <v>4.225348534256625</v>
      </c>
      <c r="Q303" s="10">
        <f t="shared" ref="Q303" si="459">N303-O303/P303</f>
        <v>1.8410970584500788</v>
      </c>
      <c r="R303">
        <v>99</v>
      </c>
      <c r="S303">
        <f t="shared" ref="S303:S334" si="460">N303</f>
        <v>1.8410970584500788</v>
      </c>
    </row>
    <row r="304" spans="1:19" x14ac:dyDescent="0.2">
      <c r="A304" t="e">
        <f t="shared" si="398"/>
        <v>#NUM!</v>
      </c>
      <c r="B304" t="e">
        <f t="shared" si="399"/>
        <v>#NUM!</v>
      </c>
      <c r="C304" t="e">
        <f t="shared" si="400"/>
        <v>#NUM!</v>
      </c>
      <c r="D304" t="e">
        <f t="shared" si="401"/>
        <v>#NUM!</v>
      </c>
      <c r="E304" t="e">
        <f t="shared" si="402"/>
        <v>#NUM!</v>
      </c>
      <c r="F304" t="e">
        <f t="shared" si="403"/>
        <v>#NUM!</v>
      </c>
      <c r="G304" t="e">
        <f t="shared" si="404"/>
        <v>#NUM!</v>
      </c>
      <c r="H304" s="5" t="e">
        <f t="shared" si="405"/>
        <v>#NUM!</v>
      </c>
      <c r="I304" s="5" t="e">
        <f t="shared" si="406"/>
        <v>#NUM!</v>
      </c>
      <c r="J304" s="5">
        <v>297</v>
      </c>
      <c r="N304">
        <f t="shared" si="424"/>
        <v>1.8411070585500797</v>
      </c>
      <c r="O304">
        <f t="shared" si="394"/>
        <v>4.2253993131957657E-5</v>
      </c>
    </row>
    <row r="305" spans="1:19" x14ac:dyDescent="0.2">
      <c r="A305" t="e">
        <f t="shared" si="398"/>
        <v>#NUM!</v>
      </c>
      <c r="B305" t="e">
        <f t="shared" si="399"/>
        <v>#NUM!</v>
      </c>
      <c r="C305" t="e">
        <f t="shared" si="400"/>
        <v>#NUM!</v>
      </c>
      <c r="D305" t="e">
        <f t="shared" si="401"/>
        <v>#NUM!</v>
      </c>
      <c r="E305" t="e">
        <f t="shared" si="402"/>
        <v>#NUM!</v>
      </c>
      <c r="F305" t="e">
        <f t="shared" si="403"/>
        <v>#NUM!</v>
      </c>
      <c r="G305" t="e">
        <f t="shared" si="404"/>
        <v>#NUM!</v>
      </c>
      <c r="H305" s="5" t="e">
        <f t="shared" si="405"/>
        <v>#NUM!</v>
      </c>
      <c r="I305" s="5" t="e">
        <f t="shared" si="406"/>
        <v>#NUM!</v>
      </c>
      <c r="J305" s="5">
        <v>298</v>
      </c>
      <c r="N305">
        <f t="shared" si="419"/>
        <v>1.8410870583500778</v>
      </c>
      <c r="O305">
        <f t="shared" si="394"/>
        <v>-4.2253822631010962E-5</v>
      </c>
    </row>
    <row r="306" spans="1:19" x14ac:dyDescent="0.2">
      <c r="A306" t="e">
        <f t="shared" si="398"/>
        <v>#NUM!</v>
      </c>
      <c r="B306" t="e">
        <f t="shared" si="399"/>
        <v>#NUM!</v>
      </c>
      <c r="C306" t="e">
        <f t="shared" si="400"/>
        <v>#NUM!</v>
      </c>
      <c r="D306" t="e">
        <f t="shared" si="401"/>
        <v>#NUM!</v>
      </c>
      <c r="E306" t="e">
        <f t="shared" si="402"/>
        <v>#NUM!</v>
      </c>
      <c r="F306" t="e">
        <f t="shared" si="403"/>
        <v>#NUM!</v>
      </c>
      <c r="G306" t="e">
        <f t="shared" si="404"/>
        <v>#NUM!</v>
      </c>
      <c r="H306" s="5" t="e">
        <f t="shared" si="405"/>
        <v>#NUM!</v>
      </c>
      <c r="I306" s="5" t="e">
        <f t="shared" si="406"/>
        <v>#NUM!</v>
      </c>
      <c r="J306" s="5">
        <v>299</v>
      </c>
      <c r="N306" s="10">
        <f t="shared" ref="N306" si="461">Q303</f>
        <v>1.8410970584500788</v>
      </c>
      <c r="O306">
        <f t="shared" si="394"/>
        <v>0</v>
      </c>
      <c r="P306">
        <f t="shared" ref="P306:P337" si="462">(O305-O307)/(N305-N307)</f>
        <v>4.225348534256625</v>
      </c>
      <c r="Q306" s="10">
        <f t="shared" ref="Q306" si="463">N306-O306/P306</f>
        <v>1.8410970584500788</v>
      </c>
      <c r="R306">
        <v>100</v>
      </c>
      <c r="S306">
        <f t="shared" ref="S306:S337" si="464">N306</f>
        <v>1.8410970584500788</v>
      </c>
    </row>
    <row r="307" spans="1:19" x14ac:dyDescent="0.2">
      <c r="A307" t="e">
        <f t="shared" si="398"/>
        <v>#NUM!</v>
      </c>
      <c r="B307" t="e">
        <f t="shared" si="399"/>
        <v>#NUM!</v>
      </c>
      <c r="C307" t="e">
        <f t="shared" si="400"/>
        <v>#NUM!</v>
      </c>
      <c r="D307" t="e">
        <f t="shared" si="401"/>
        <v>#NUM!</v>
      </c>
      <c r="E307" t="e">
        <f t="shared" si="402"/>
        <v>#NUM!</v>
      </c>
      <c r="F307" t="e">
        <f t="shared" si="403"/>
        <v>#NUM!</v>
      </c>
      <c r="G307" t="e">
        <f t="shared" si="404"/>
        <v>#NUM!</v>
      </c>
      <c r="H307" s="5" t="e">
        <f t="shared" si="405"/>
        <v>#NUM!</v>
      </c>
      <c r="I307" s="5" t="e">
        <f t="shared" si="406"/>
        <v>#NUM!</v>
      </c>
      <c r="J307" s="5">
        <v>300</v>
      </c>
      <c r="N307">
        <f t="shared" si="424"/>
        <v>1.8411070585500797</v>
      </c>
      <c r="O307">
        <f t="shared" si="394"/>
        <v>4.2253993131957657E-5</v>
      </c>
    </row>
    <row r="308" spans="1:19" x14ac:dyDescent="0.2">
      <c r="A308" t="e">
        <f t="shared" si="398"/>
        <v>#NUM!</v>
      </c>
      <c r="B308" t="e">
        <f t="shared" si="399"/>
        <v>#NUM!</v>
      </c>
      <c r="C308" t="e">
        <f t="shared" si="400"/>
        <v>#NUM!</v>
      </c>
      <c r="D308" t="e">
        <f t="shared" si="401"/>
        <v>#NUM!</v>
      </c>
      <c r="E308" t="e">
        <f t="shared" si="402"/>
        <v>#NUM!</v>
      </c>
      <c r="F308" t="e">
        <f t="shared" si="403"/>
        <v>#NUM!</v>
      </c>
      <c r="G308" t="e">
        <f t="shared" si="404"/>
        <v>#NUM!</v>
      </c>
      <c r="H308" s="5" t="e">
        <f t="shared" si="405"/>
        <v>#NUM!</v>
      </c>
      <c r="I308" s="5" t="e">
        <f t="shared" si="406"/>
        <v>#NUM!</v>
      </c>
      <c r="J308" s="5">
        <v>301</v>
      </c>
      <c r="N308">
        <f t="shared" si="419"/>
        <v>1.8410870583500778</v>
      </c>
      <c r="O308">
        <f t="shared" si="394"/>
        <v>-4.2253822631010962E-5</v>
      </c>
    </row>
    <row r="309" spans="1:19" x14ac:dyDescent="0.2">
      <c r="A309" t="e">
        <f t="shared" si="398"/>
        <v>#NUM!</v>
      </c>
      <c r="B309" t="e">
        <f t="shared" si="399"/>
        <v>#NUM!</v>
      </c>
      <c r="C309" t="e">
        <f t="shared" si="400"/>
        <v>#NUM!</v>
      </c>
      <c r="D309" t="e">
        <f t="shared" si="401"/>
        <v>#NUM!</v>
      </c>
      <c r="E309" t="e">
        <f t="shared" si="402"/>
        <v>#NUM!</v>
      </c>
      <c r="F309" t="e">
        <f t="shared" si="403"/>
        <v>#NUM!</v>
      </c>
      <c r="G309" t="e">
        <f t="shared" si="404"/>
        <v>#NUM!</v>
      </c>
      <c r="H309" s="5" t="e">
        <f t="shared" si="405"/>
        <v>#NUM!</v>
      </c>
      <c r="I309" s="5" t="e">
        <f t="shared" si="406"/>
        <v>#NUM!</v>
      </c>
      <c r="J309" s="5">
        <v>302</v>
      </c>
      <c r="N309" s="10">
        <f t="shared" ref="N309" si="465">Q306</f>
        <v>1.8410970584500788</v>
      </c>
      <c r="O309">
        <f t="shared" si="394"/>
        <v>0</v>
      </c>
      <c r="P309">
        <f t="shared" ref="P309:P340" si="466">(O308-O310)/(N308-N310)</f>
        <v>4.225348534256625</v>
      </c>
      <c r="Q309" s="10">
        <f t="shared" ref="Q309" si="467">N309-O309/P309</f>
        <v>1.8410970584500788</v>
      </c>
      <c r="R309">
        <v>101</v>
      </c>
      <c r="S309">
        <f t="shared" ref="S309:S340" si="468">N309</f>
        <v>1.8410970584500788</v>
      </c>
    </row>
    <row r="310" spans="1:19" x14ac:dyDescent="0.2">
      <c r="A310" t="e">
        <f t="shared" si="398"/>
        <v>#NUM!</v>
      </c>
      <c r="B310" t="e">
        <f t="shared" si="399"/>
        <v>#NUM!</v>
      </c>
      <c r="C310" t="e">
        <f t="shared" si="400"/>
        <v>#NUM!</v>
      </c>
      <c r="D310" t="e">
        <f t="shared" si="401"/>
        <v>#NUM!</v>
      </c>
      <c r="E310" t="e">
        <f t="shared" si="402"/>
        <v>#NUM!</v>
      </c>
      <c r="F310" t="e">
        <f t="shared" si="403"/>
        <v>#NUM!</v>
      </c>
      <c r="G310" t="e">
        <f t="shared" si="404"/>
        <v>#NUM!</v>
      </c>
      <c r="H310" s="5" t="e">
        <f t="shared" si="405"/>
        <v>#NUM!</v>
      </c>
      <c r="I310" s="5" t="e">
        <f t="shared" si="406"/>
        <v>#NUM!</v>
      </c>
      <c r="J310" s="5">
        <v>303</v>
      </c>
      <c r="N310">
        <f t="shared" si="424"/>
        <v>1.8411070585500797</v>
      </c>
      <c r="O310">
        <f t="shared" si="394"/>
        <v>4.2253993131957657E-5</v>
      </c>
    </row>
    <row r="311" spans="1:19" x14ac:dyDescent="0.2">
      <c r="A311" t="e">
        <f t="shared" si="398"/>
        <v>#NUM!</v>
      </c>
      <c r="B311" t="e">
        <f t="shared" si="399"/>
        <v>#NUM!</v>
      </c>
      <c r="C311" t="e">
        <f t="shared" si="400"/>
        <v>#NUM!</v>
      </c>
      <c r="D311" t="e">
        <f t="shared" si="401"/>
        <v>#NUM!</v>
      </c>
      <c r="E311" t="e">
        <f t="shared" si="402"/>
        <v>#NUM!</v>
      </c>
      <c r="F311" t="e">
        <f t="shared" si="403"/>
        <v>#NUM!</v>
      </c>
      <c r="G311" t="e">
        <f t="shared" si="404"/>
        <v>#NUM!</v>
      </c>
      <c r="H311" s="5" t="e">
        <f t="shared" si="405"/>
        <v>#NUM!</v>
      </c>
      <c r="I311" s="5" t="e">
        <f t="shared" si="406"/>
        <v>#NUM!</v>
      </c>
      <c r="J311" s="5">
        <v>304</v>
      </c>
      <c r="N311">
        <f t="shared" si="419"/>
        <v>1.8410870583500778</v>
      </c>
      <c r="O311">
        <f t="shared" si="394"/>
        <v>-4.2253822631010962E-5</v>
      </c>
    </row>
    <row r="312" spans="1:19" x14ac:dyDescent="0.2">
      <c r="A312" t="e">
        <f t="shared" si="398"/>
        <v>#NUM!</v>
      </c>
      <c r="B312" t="e">
        <f t="shared" si="399"/>
        <v>#NUM!</v>
      </c>
      <c r="C312" t="e">
        <f t="shared" si="400"/>
        <v>#NUM!</v>
      </c>
      <c r="D312" t="e">
        <f t="shared" si="401"/>
        <v>#NUM!</v>
      </c>
      <c r="E312" t="e">
        <f t="shared" si="402"/>
        <v>#NUM!</v>
      </c>
      <c r="F312" t="e">
        <f t="shared" si="403"/>
        <v>#NUM!</v>
      </c>
      <c r="G312" t="e">
        <f t="shared" si="404"/>
        <v>#NUM!</v>
      </c>
      <c r="H312" s="5" t="e">
        <f t="shared" si="405"/>
        <v>#NUM!</v>
      </c>
      <c r="I312" s="5" t="e">
        <f t="shared" si="406"/>
        <v>#NUM!</v>
      </c>
      <c r="J312" s="5">
        <v>305</v>
      </c>
      <c r="N312" s="10">
        <f t="shared" ref="N312" si="469">Q309</f>
        <v>1.8410970584500788</v>
      </c>
      <c r="O312">
        <f t="shared" si="394"/>
        <v>0</v>
      </c>
      <c r="P312">
        <f t="shared" ref="P312:P343" si="470">(O311-O313)/(N311-N313)</f>
        <v>4.225348534256625</v>
      </c>
      <c r="Q312" s="10">
        <f t="shared" ref="Q312" si="471">N312-O312/P312</f>
        <v>1.8410970584500788</v>
      </c>
      <c r="R312">
        <v>102</v>
      </c>
      <c r="S312">
        <f t="shared" ref="S312:S343" si="472">N312</f>
        <v>1.8410970584500788</v>
      </c>
    </row>
    <row r="313" spans="1:19" x14ac:dyDescent="0.2">
      <c r="A313" t="e">
        <f t="shared" si="398"/>
        <v>#NUM!</v>
      </c>
      <c r="B313" t="e">
        <f t="shared" si="399"/>
        <v>#NUM!</v>
      </c>
      <c r="C313" t="e">
        <f t="shared" si="400"/>
        <v>#NUM!</v>
      </c>
      <c r="D313" t="e">
        <f t="shared" si="401"/>
        <v>#NUM!</v>
      </c>
      <c r="E313" t="e">
        <f t="shared" si="402"/>
        <v>#NUM!</v>
      </c>
      <c r="F313" t="e">
        <f t="shared" si="403"/>
        <v>#NUM!</v>
      </c>
      <c r="G313" t="e">
        <f t="shared" si="404"/>
        <v>#NUM!</v>
      </c>
      <c r="H313" s="5" t="e">
        <f t="shared" si="405"/>
        <v>#NUM!</v>
      </c>
      <c r="I313" s="5" t="e">
        <f t="shared" si="406"/>
        <v>#NUM!</v>
      </c>
      <c r="J313" s="5">
        <v>306</v>
      </c>
      <c r="N313">
        <f t="shared" si="424"/>
        <v>1.8411070585500797</v>
      </c>
      <c r="O313">
        <f t="shared" si="394"/>
        <v>4.2253993131957657E-5</v>
      </c>
    </row>
    <row r="314" spans="1:19" x14ac:dyDescent="0.2">
      <c r="A314" t="e">
        <f t="shared" si="398"/>
        <v>#NUM!</v>
      </c>
      <c r="B314" t="e">
        <f t="shared" si="399"/>
        <v>#NUM!</v>
      </c>
      <c r="C314" t="e">
        <f t="shared" si="400"/>
        <v>#NUM!</v>
      </c>
      <c r="D314" t="e">
        <f t="shared" si="401"/>
        <v>#NUM!</v>
      </c>
      <c r="E314" t="e">
        <f t="shared" si="402"/>
        <v>#NUM!</v>
      </c>
      <c r="F314" t="e">
        <f t="shared" si="403"/>
        <v>#NUM!</v>
      </c>
      <c r="G314" t="e">
        <f t="shared" si="404"/>
        <v>#NUM!</v>
      </c>
      <c r="H314" s="5" t="e">
        <f t="shared" si="405"/>
        <v>#NUM!</v>
      </c>
      <c r="I314" s="5" t="e">
        <f t="shared" si="406"/>
        <v>#NUM!</v>
      </c>
      <c r="J314" s="5">
        <v>307</v>
      </c>
      <c r="N314">
        <f t="shared" si="419"/>
        <v>1.8410870583500778</v>
      </c>
      <c r="O314">
        <f t="shared" si="394"/>
        <v>-4.2253822631010962E-5</v>
      </c>
    </row>
    <row r="315" spans="1:19" x14ac:dyDescent="0.2">
      <c r="A315" t="e">
        <f t="shared" si="398"/>
        <v>#NUM!</v>
      </c>
      <c r="B315" t="e">
        <f t="shared" si="399"/>
        <v>#NUM!</v>
      </c>
      <c r="C315" t="e">
        <f t="shared" si="400"/>
        <v>#NUM!</v>
      </c>
      <c r="D315" t="e">
        <f t="shared" si="401"/>
        <v>#NUM!</v>
      </c>
      <c r="E315" t="e">
        <f t="shared" si="402"/>
        <v>#NUM!</v>
      </c>
      <c r="F315" t="e">
        <f t="shared" si="403"/>
        <v>#NUM!</v>
      </c>
      <c r="G315" t="e">
        <f t="shared" si="404"/>
        <v>#NUM!</v>
      </c>
      <c r="H315" s="5" t="e">
        <f t="shared" si="405"/>
        <v>#NUM!</v>
      </c>
      <c r="I315" s="5" t="e">
        <f t="shared" si="406"/>
        <v>#NUM!</v>
      </c>
      <c r="J315" s="5">
        <v>308</v>
      </c>
      <c r="N315" s="10">
        <f t="shared" ref="N315" si="473">Q312</f>
        <v>1.8410970584500788</v>
      </c>
      <c r="O315">
        <f t="shared" si="394"/>
        <v>0</v>
      </c>
      <c r="P315">
        <f t="shared" ref="P315:P346" si="474">(O314-O316)/(N314-N316)</f>
        <v>4.225348534256625</v>
      </c>
      <c r="Q315" s="10">
        <f t="shared" ref="Q315" si="475">N315-O315/P315</f>
        <v>1.8410970584500788</v>
      </c>
      <c r="R315">
        <v>103</v>
      </c>
      <c r="S315">
        <f t="shared" ref="S315:S346" si="476">N315</f>
        <v>1.8410970584500788</v>
      </c>
    </row>
    <row r="316" spans="1:19" x14ac:dyDescent="0.2">
      <c r="A316" t="e">
        <f t="shared" si="398"/>
        <v>#NUM!</v>
      </c>
      <c r="B316" t="e">
        <f t="shared" si="399"/>
        <v>#NUM!</v>
      </c>
      <c r="C316" t="e">
        <f t="shared" si="400"/>
        <v>#NUM!</v>
      </c>
      <c r="D316" t="e">
        <f t="shared" si="401"/>
        <v>#NUM!</v>
      </c>
      <c r="E316" t="e">
        <f t="shared" si="402"/>
        <v>#NUM!</v>
      </c>
      <c r="F316" t="e">
        <f t="shared" si="403"/>
        <v>#NUM!</v>
      </c>
      <c r="G316" t="e">
        <f t="shared" si="404"/>
        <v>#NUM!</v>
      </c>
      <c r="H316" s="5" t="e">
        <f t="shared" si="405"/>
        <v>#NUM!</v>
      </c>
      <c r="I316" s="5" t="e">
        <f t="shared" si="406"/>
        <v>#NUM!</v>
      </c>
      <c r="J316" s="5">
        <v>309</v>
      </c>
      <c r="N316">
        <f t="shared" si="424"/>
        <v>1.8411070585500797</v>
      </c>
      <c r="O316">
        <f t="shared" si="394"/>
        <v>4.2253993131957657E-5</v>
      </c>
    </row>
    <row r="317" spans="1:19" x14ac:dyDescent="0.2">
      <c r="A317" t="e">
        <f t="shared" si="398"/>
        <v>#NUM!</v>
      </c>
      <c r="B317" t="e">
        <f t="shared" si="399"/>
        <v>#NUM!</v>
      </c>
      <c r="C317" t="e">
        <f t="shared" si="400"/>
        <v>#NUM!</v>
      </c>
      <c r="D317" t="e">
        <f t="shared" si="401"/>
        <v>#NUM!</v>
      </c>
      <c r="E317" t="e">
        <f t="shared" si="402"/>
        <v>#NUM!</v>
      </c>
      <c r="F317" t="e">
        <f t="shared" si="403"/>
        <v>#NUM!</v>
      </c>
      <c r="G317" t="e">
        <f t="shared" si="404"/>
        <v>#NUM!</v>
      </c>
      <c r="H317" s="5" t="e">
        <f t="shared" si="405"/>
        <v>#NUM!</v>
      </c>
      <c r="I317" s="5" t="e">
        <f t="shared" si="406"/>
        <v>#NUM!</v>
      </c>
      <c r="J317" s="5">
        <v>310</v>
      </c>
      <c r="N317">
        <f t="shared" si="419"/>
        <v>1.8410870583500778</v>
      </c>
      <c r="O317">
        <f t="shared" si="394"/>
        <v>-4.2253822631010962E-5</v>
      </c>
    </row>
    <row r="318" spans="1:19" x14ac:dyDescent="0.2">
      <c r="A318" t="e">
        <f t="shared" si="398"/>
        <v>#NUM!</v>
      </c>
      <c r="B318" t="e">
        <f t="shared" si="399"/>
        <v>#NUM!</v>
      </c>
      <c r="C318" t="e">
        <f t="shared" si="400"/>
        <v>#NUM!</v>
      </c>
      <c r="D318" t="e">
        <f t="shared" si="401"/>
        <v>#NUM!</v>
      </c>
      <c r="E318" t="e">
        <f t="shared" si="402"/>
        <v>#NUM!</v>
      </c>
      <c r="F318" t="e">
        <f t="shared" si="403"/>
        <v>#NUM!</v>
      </c>
      <c r="G318" t="e">
        <f t="shared" si="404"/>
        <v>#NUM!</v>
      </c>
      <c r="H318" s="5" t="e">
        <f t="shared" si="405"/>
        <v>#NUM!</v>
      </c>
      <c r="I318" s="5" t="e">
        <f t="shared" si="406"/>
        <v>#NUM!</v>
      </c>
      <c r="J318" s="5">
        <v>311</v>
      </c>
      <c r="N318" s="10">
        <f t="shared" ref="N318" si="477">Q315</f>
        <v>1.8410970584500788</v>
      </c>
      <c r="O318">
        <f t="shared" si="394"/>
        <v>0</v>
      </c>
      <c r="P318">
        <f t="shared" ref="P318:P349" si="478">(O317-O319)/(N317-N319)</f>
        <v>4.225348534256625</v>
      </c>
      <c r="Q318" s="10">
        <f t="shared" ref="Q318" si="479">N318-O318/P318</f>
        <v>1.8410970584500788</v>
      </c>
      <c r="R318">
        <v>104</v>
      </c>
      <c r="S318">
        <f t="shared" ref="S318:S349" si="480">N318</f>
        <v>1.8410970584500788</v>
      </c>
    </row>
    <row r="319" spans="1:19" x14ac:dyDescent="0.2">
      <c r="A319" t="e">
        <f t="shared" si="398"/>
        <v>#NUM!</v>
      </c>
      <c r="B319" t="e">
        <f t="shared" si="399"/>
        <v>#NUM!</v>
      </c>
      <c r="C319" t="e">
        <f t="shared" si="400"/>
        <v>#NUM!</v>
      </c>
      <c r="D319" t="e">
        <f t="shared" si="401"/>
        <v>#NUM!</v>
      </c>
      <c r="E319" t="e">
        <f t="shared" si="402"/>
        <v>#NUM!</v>
      </c>
      <c r="F319" t="e">
        <f t="shared" si="403"/>
        <v>#NUM!</v>
      </c>
      <c r="G319" t="e">
        <f t="shared" si="404"/>
        <v>#NUM!</v>
      </c>
      <c r="H319" s="5" t="e">
        <f t="shared" si="405"/>
        <v>#NUM!</v>
      </c>
      <c r="I319" s="5" t="e">
        <f t="shared" si="406"/>
        <v>#NUM!</v>
      </c>
      <c r="J319" s="5">
        <v>312</v>
      </c>
      <c r="N319">
        <f t="shared" si="424"/>
        <v>1.8411070585500797</v>
      </c>
      <c r="O319">
        <f t="shared" si="394"/>
        <v>4.2253993131957657E-5</v>
      </c>
    </row>
    <row r="320" spans="1:19" x14ac:dyDescent="0.2">
      <c r="A320" t="e">
        <f t="shared" si="398"/>
        <v>#NUM!</v>
      </c>
      <c r="B320" t="e">
        <f t="shared" si="399"/>
        <v>#NUM!</v>
      </c>
      <c r="C320" t="e">
        <f t="shared" si="400"/>
        <v>#NUM!</v>
      </c>
      <c r="D320" t="e">
        <f t="shared" si="401"/>
        <v>#NUM!</v>
      </c>
      <c r="E320" t="e">
        <f t="shared" si="402"/>
        <v>#NUM!</v>
      </c>
      <c r="F320" t="e">
        <f t="shared" si="403"/>
        <v>#NUM!</v>
      </c>
      <c r="G320" t="e">
        <f t="shared" si="404"/>
        <v>#NUM!</v>
      </c>
      <c r="H320" s="5" t="e">
        <f t="shared" si="405"/>
        <v>#NUM!</v>
      </c>
      <c r="I320" s="5" t="e">
        <f t="shared" si="406"/>
        <v>#NUM!</v>
      </c>
      <c r="J320" s="5">
        <v>313</v>
      </c>
      <c r="N320">
        <f t="shared" si="419"/>
        <v>1.8410870583500778</v>
      </c>
      <c r="O320">
        <f t="shared" si="394"/>
        <v>-4.2253822631010962E-5</v>
      </c>
    </row>
    <row r="321" spans="1:19" x14ac:dyDescent="0.2">
      <c r="A321" t="e">
        <f t="shared" si="398"/>
        <v>#NUM!</v>
      </c>
      <c r="B321" t="e">
        <f t="shared" si="399"/>
        <v>#NUM!</v>
      </c>
      <c r="C321" t="e">
        <f t="shared" si="400"/>
        <v>#NUM!</v>
      </c>
      <c r="D321" t="e">
        <f t="shared" si="401"/>
        <v>#NUM!</v>
      </c>
      <c r="E321" t="e">
        <f t="shared" si="402"/>
        <v>#NUM!</v>
      </c>
      <c r="F321" t="e">
        <f t="shared" si="403"/>
        <v>#NUM!</v>
      </c>
      <c r="G321" t="e">
        <f t="shared" si="404"/>
        <v>#NUM!</v>
      </c>
      <c r="H321" s="5" t="e">
        <f t="shared" si="405"/>
        <v>#NUM!</v>
      </c>
      <c r="I321" s="5" t="e">
        <f t="shared" si="406"/>
        <v>#NUM!</v>
      </c>
      <c r="J321" s="5">
        <v>314</v>
      </c>
      <c r="N321" s="10">
        <f t="shared" ref="N321" si="481">Q318</f>
        <v>1.8410970584500788</v>
      </c>
      <c r="O321">
        <f t="shared" si="394"/>
        <v>0</v>
      </c>
      <c r="P321">
        <f t="shared" ref="P321:P352" si="482">(O320-O322)/(N320-N322)</f>
        <v>4.225348534256625</v>
      </c>
      <c r="Q321" s="10">
        <f t="shared" ref="Q321" si="483">N321-O321/P321</f>
        <v>1.8410970584500788</v>
      </c>
      <c r="R321">
        <v>105</v>
      </c>
      <c r="S321">
        <f t="shared" ref="S321:S352" si="484">N321</f>
        <v>1.8410970584500788</v>
      </c>
    </row>
    <row r="322" spans="1:19" x14ac:dyDescent="0.2">
      <c r="A322" t="e">
        <f t="shared" si="398"/>
        <v>#NUM!</v>
      </c>
      <c r="B322" t="e">
        <f t="shared" si="399"/>
        <v>#NUM!</v>
      </c>
      <c r="C322" t="e">
        <f t="shared" si="400"/>
        <v>#NUM!</v>
      </c>
      <c r="D322" t="e">
        <f t="shared" si="401"/>
        <v>#NUM!</v>
      </c>
      <c r="E322" t="e">
        <f t="shared" si="402"/>
        <v>#NUM!</v>
      </c>
      <c r="F322" t="e">
        <f t="shared" si="403"/>
        <v>#NUM!</v>
      </c>
      <c r="G322" t="e">
        <f t="shared" si="404"/>
        <v>#NUM!</v>
      </c>
      <c r="H322" s="5" t="e">
        <f t="shared" si="405"/>
        <v>#NUM!</v>
      </c>
      <c r="I322" s="5" t="e">
        <f t="shared" si="406"/>
        <v>#NUM!</v>
      </c>
      <c r="J322" s="5">
        <v>315</v>
      </c>
      <c r="N322">
        <f t="shared" si="424"/>
        <v>1.8411070585500797</v>
      </c>
      <c r="O322">
        <f t="shared" si="394"/>
        <v>4.2253993131957657E-5</v>
      </c>
    </row>
    <row r="323" spans="1:19" x14ac:dyDescent="0.2">
      <c r="A323" t="e">
        <f t="shared" si="398"/>
        <v>#NUM!</v>
      </c>
      <c r="B323" t="e">
        <f t="shared" si="399"/>
        <v>#NUM!</v>
      </c>
      <c r="C323" t="e">
        <f t="shared" si="400"/>
        <v>#NUM!</v>
      </c>
      <c r="D323" t="e">
        <f t="shared" si="401"/>
        <v>#NUM!</v>
      </c>
      <c r="E323" t="e">
        <f t="shared" si="402"/>
        <v>#NUM!</v>
      </c>
      <c r="F323" t="e">
        <f t="shared" si="403"/>
        <v>#NUM!</v>
      </c>
      <c r="G323" t="e">
        <f t="shared" si="404"/>
        <v>#NUM!</v>
      </c>
      <c r="H323" s="5" t="e">
        <f t="shared" si="405"/>
        <v>#NUM!</v>
      </c>
      <c r="I323" s="5" t="e">
        <f t="shared" si="406"/>
        <v>#NUM!</v>
      </c>
      <c r="J323" s="5">
        <v>316</v>
      </c>
      <c r="N323">
        <f t="shared" si="419"/>
        <v>1.8410870583500778</v>
      </c>
      <c r="O323">
        <f t="shared" si="394"/>
        <v>-4.2253822631010962E-5</v>
      </c>
    </row>
    <row r="324" spans="1:19" x14ac:dyDescent="0.2">
      <c r="A324" t="e">
        <f t="shared" si="398"/>
        <v>#NUM!</v>
      </c>
      <c r="B324" t="e">
        <f t="shared" si="399"/>
        <v>#NUM!</v>
      </c>
      <c r="C324" t="e">
        <f t="shared" si="400"/>
        <v>#NUM!</v>
      </c>
      <c r="D324" t="e">
        <f t="shared" si="401"/>
        <v>#NUM!</v>
      </c>
      <c r="E324" t="e">
        <f t="shared" si="402"/>
        <v>#NUM!</v>
      </c>
      <c r="F324" t="e">
        <f t="shared" si="403"/>
        <v>#NUM!</v>
      </c>
      <c r="G324" t="e">
        <f t="shared" si="404"/>
        <v>#NUM!</v>
      </c>
      <c r="H324" s="5" t="e">
        <f t="shared" si="405"/>
        <v>#NUM!</v>
      </c>
      <c r="I324" s="5" t="e">
        <f t="shared" si="406"/>
        <v>#NUM!</v>
      </c>
      <c r="J324" s="5">
        <v>317</v>
      </c>
      <c r="N324" s="10">
        <f t="shared" ref="N324" si="485">Q321</f>
        <v>1.8410970584500788</v>
      </c>
      <c r="O324">
        <f t="shared" si="394"/>
        <v>0</v>
      </c>
      <c r="P324">
        <f t="shared" ref="P324:P355" si="486">(O323-O325)/(N323-N325)</f>
        <v>4.225348534256625</v>
      </c>
      <c r="Q324" s="10">
        <f t="shared" ref="Q324" si="487">N324-O324/P324</f>
        <v>1.8410970584500788</v>
      </c>
      <c r="R324">
        <v>106</v>
      </c>
      <c r="S324">
        <f t="shared" ref="S324:S355" si="488">N324</f>
        <v>1.8410970584500788</v>
      </c>
    </row>
    <row r="325" spans="1:19" x14ac:dyDescent="0.2">
      <c r="A325" t="e">
        <f t="shared" si="398"/>
        <v>#NUM!</v>
      </c>
      <c r="B325" t="e">
        <f t="shared" si="399"/>
        <v>#NUM!</v>
      </c>
      <c r="C325" t="e">
        <f t="shared" si="400"/>
        <v>#NUM!</v>
      </c>
      <c r="D325" t="e">
        <f t="shared" si="401"/>
        <v>#NUM!</v>
      </c>
      <c r="E325" t="e">
        <f t="shared" si="402"/>
        <v>#NUM!</v>
      </c>
      <c r="F325" t="e">
        <f t="shared" si="403"/>
        <v>#NUM!</v>
      </c>
      <c r="G325" t="e">
        <f t="shared" si="404"/>
        <v>#NUM!</v>
      </c>
      <c r="H325" s="5" t="e">
        <f t="shared" si="405"/>
        <v>#NUM!</v>
      </c>
      <c r="I325" s="5" t="e">
        <f t="shared" si="406"/>
        <v>#NUM!</v>
      </c>
      <c r="J325" s="5">
        <v>318</v>
      </c>
      <c r="N325">
        <f t="shared" si="424"/>
        <v>1.8411070585500797</v>
      </c>
      <c r="O325">
        <f t="shared" si="394"/>
        <v>4.2253993131957657E-5</v>
      </c>
    </row>
    <row r="326" spans="1:19" x14ac:dyDescent="0.2">
      <c r="A326" t="e">
        <f t="shared" si="398"/>
        <v>#NUM!</v>
      </c>
      <c r="B326" t="e">
        <f t="shared" si="399"/>
        <v>#NUM!</v>
      </c>
      <c r="C326" t="e">
        <f t="shared" si="400"/>
        <v>#NUM!</v>
      </c>
      <c r="D326" t="e">
        <f t="shared" si="401"/>
        <v>#NUM!</v>
      </c>
      <c r="E326" t="e">
        <f t="shared" si="402"/>
        <v>#NUM!</v>
      </c>
      <c r="F326" t="e">
        <f t="shared" si="403"/>
        <v>#NUM!</v>
      </c>
      <c r="G326" t="e">
        <f t="shared" si="404"/>
        <v>#NUM!</v>
      </c>
      <c r="H326" s="5" t="e">
        <f t="shared" si="405"/>
        <v>#NUM!</v>
      </c>
      <c r="I326" s="5" t="e">
        <f t="shared" si="406"/>
        <v>#NUM!</v>
      </c>
      <c r="J326" s="5">
        <v>319</v>
      </c>
      <c r="N326">
        <f t="shared" si="419"/>
        <v>1.8410870583500778</v>
      </c>
      <c r="O326">
        <f t="shared" si="394"/>
        <v>-4.2253822631010962E-5</v>
      </c>
    </row>
    <row r="327" spans="1:19" x14ac:dyDescent="0.2">
      <c r="A327" t="e">
        <f t="shared" si="398"/>
        <v>#NUM!</v>
      </c>
      <c r="B327" t="e">
        <f t="shared" si="399"/>
        <v>#NUM!</v>
      </c>
      <c r="C327" t="e">
        <f t="shared" si="400"/>
        <v>#NUM!</v>
      </c>
      <c r="D327" t="e">
        <f t="shared" si="401"/>
        <v>#NUM!</v>
      </c>
      <c r="E327" t="e">
        <f t="shared" si="402"/>
        <v>#NUM!</v>
      </c>
      <c r="F327" t="e">
        <f t="shared" si="403"/>
        <v>#NUM!</v>
      </c>
      <c r="G327" t="e">
        <f t="shared" si="404"/>
        <v>#NUM!</v>
      </c>
      <c r="H327" s="5" t="e">
        <f t="shared" si="405"/>
        <v>#NUM!</v>
      </c>
      <c r="I327" s="5" t="e">
        <f t="shared" si="406"/>
        <v>#NUM!</v>
      </c>
      <c r="J327" s="5">
        <v>320</v>
      </c>
      <c r="N327" s="10">
        <f t="shared" ref="N327" si="489">Q324</f>
        <v>1.8410970584500788</v>
      </c>
      <c r="O327">
        <f t="shared" si="394"/>
        <v>0</v>
      </c>
      <c r="P327">
        <f t="shared" ref="P327:P358" si="490">(O326-O328)/(N326-N328)</f>
        <v>4.225348534256625</v>
      </c>
      <c r="Q327" s="10">
        <f t="shared" ref="Q327" si="491">N327-O327/P327</f>
        <v>1.8410970584500788</v>
      </c>
      <c r="R327">
        <v>107</v>
      </c>
      <c r="S327">
        <f t="shared" ref="S327:S358" si="492">N327</f>
        <v>1.8410970584500788</v>
      </c>
    </row>
    <row r="328" spans="1:19" x14ac:dyDescent="0.2">
      <c r="A328" t="e">
        <f t="shared" si="398"/>
        <v>#NUM!</v>
      </c>
      <c r="B328" t="e">
        <f t="shared" si="399"/>
        <v>#NUM!</v>
      </c>
      <c r="C328" t="e">
        <f t="shared" si="400"/>
        <v>#NUM!</v>
      </c>
      <c r="D328" t="e">
        <f t="shared" si="401"/>
        <v>#NUM!</v>
      </c>
      <c r="E328" t="e">
        <f t="shared" si="402"/>
        <v>#NUM!</v>
      </c>
      <c r="F328" t="e">
        <f t="shared" si="403"/>
        <v>#NUM!</v>
      </c>
      <c r="G328" t="e">
        <f t="shared" si="404"/>
        <v>#NUM!</v>
      </c>
      <c r="H328" s="5" t="e">
        <f t="shared" si="405"/>
        <v>#NUM!</v>
      </c>
      <c r="I328" s="5" t="e">
        <f t="shared" si="406"/>
        <v>#NUM!</v>
      </c>
      <c r="J328" s="5">
        <v>321</v>
      </c>
      <c r="N328">
        <f t="shared" si="424"/>
        <v>1.8411070585500797</v>
      </c>
      <c r="O328">
        <f t="shared" ref="O328:O391" si="493">N328*N328+LN(N328)-4</f>
        <v>4.2253993131957657E-5</v>
      </c>
    </row>
    <row r="329" spans="1:19" x14ac:dyDescent="0.2">
      <c r="A329" t="e">
        <f t="shared" si="398"/>
        <v>#NUM!</v>
      </c>
      <c r="B329" t="e">
        <f t="shared" si="399"/>
        <v>#NUM!</v>
      </c>
      <c r="C329" t="e">
        <f t="shared" si="400"/>
        <v>#NUM!</v>
      </c>
      <c r="D329" t="e">
        <f t="shared" si="401"/>
        <v>#NUM!</v>
      </c>
      <c r="E329" t="e">
        <f t="shared" si="402"/>
        <v>#NUM!</v>
      </c>
      <c r="F329" t="e">
        <f t="shared" si="403"/>
        <v>#NUM!</v>
      </c>
      <c r="G329" t="e">
        <f t="shared" si="404"/>
        <v>#NUM!</v>
      </c>
      <c r="H329" s="5" t="e">
        <f t="shared" si="405"/>
        <v>#NUM!</v>
      </c>
      <c r="I329" s="5" t="e">
        <f t="shared" si="406"/>
        <v>#NUM!</v>
      </c>
      <c r="J329" s="5">
        <v>322</v>
      </c>
      <c r="N329">
        <f t="shared" si="419"/>
        <v>1.8410870583500778</v>
      </c>
      <c r="O329">
        <f t="shared" si="493"/>
        <v>-4.2253822631010962E-5</v>
      </c>
    </row>
    <row r="330" spans="1:19" x14ac:dyDescent="0.2">
      <c r="A330" t="e">
        <f t="shared" ref="A330:A393" si="494">IF(B329*F329&lt;0, MIN(A329,E329), IF(D329*F329&lt;0, MIN(C329,E329)))</f>
        <v>#NUM!</v>
      </c>
      <c r="B330" t="e">
        <f t="shared" ref="B330:B393" si="495">A330*A330+LN(A330)-4</f>
        <v>#NUM!</v>
      </c>
      <c r="C330" t="e">
        <f t="shared" ref="C330:C393" si="496">IF(B329*F329&lt;0, MAX(A329,E329), IF(D329*F329&lt;0, MAX(C329,E329)))</f>
        <v>#NUM!</v>
      </c>
      <c r="D330" t="e">
        <f t="shared" ref="D330:D393" si="497">C330*C330+LN(C330)-4</f>
        <v>#NUM!</v>
      </c>
      <c r="E330" t="e">
        <f t="shared" ref="E330:E393" si="498">(A330+C330)/2</f>
        <v>#NUM!</v>
      </c>
      <c r="F330" t="e">
        <f t="shared" ref="F330:F393" si="499">E330*E330+LN(E330)-4</f>
        <v>#NUM!</v>
      </c>
      <c r="G330" t="e">
        <f t="shared" ref="G330:G393" si="500">ABS(A330-C330)</f>
        <v>#NUM!</v>
      </c>
      <c r="H330" s="5" t="e">
        <f t="shared" ref="H330:H393" si="501">IF(A330=FALSE(), 999, F330)</f>
        <v>#NUM!</v>
      </c>
      <c r="I330" s="5" t="e">
        <f t="shared" ref="I330:I393" si="502">E330</f>
        <v>#NUM!</v>
      </c>
      <c r="J330" s="5">
        <v>323</v>
      </c>
      <c r="N330" s="10">
        <f t="shared" ref="N330" si="503">Q327</f>
        <v>1.8410970584500788</v>
      </c>
      <c r="O330">
        <f t="shared" si="493"/>
        <v>0</v>
      </c>
      <c r="P330">
        <f t="shared" ref="P330:P361" si="504">(O329-O331)/(N329-N331)</f>
        <v>4.225348534256625</v>
      </c>
      <c r="Q330" s="10">
        <f t="shared" ref="Q330" si="505">N330-O330/P330</f>
        <v>1.8410970584500788</v>
      </c>
      <c r="R330">
        <v>108</v>
      </c>
      <c r="S330">
        <f t="shared" ref="S330:S361" si="506">N330</f>
        <v>1.8410970584500788</v>
      </c>
    </row>
    <row r="331" spans="1:19" x14ac:dyDescent="0.2">
      <c r="A331" t="e">
        <f t="shared" si="494"/>
        <v>#NUM!</v>
      </c>
      <c r="B331" t="e">
        <f t="shared" si="495"/>
        <v>#NUM!</v>
      </c>
      <c r="C331" t="e">
        <f t="shared" si="496"/>
        <v>#NUM!</v>
      </c>
      <c r="D331" t="e">
        <f t="shared" si="497"/>
        <v>#NUM!</v>
      </c>
      <c r="E331" t="e">
        <f t="shared" si="498"/>
        <v>#NUM!</v>
      </c>
      <c r="F331" t="e">
        <f t="shared" si="499"/>
        <v>#NUM!</v>
      </c>
      <c r="G331" t="e">
        <f t="shared" si="500"/>
        <v>#NUM!</v>
      </c>
      <c r="H331" s="5" t="e">
        <f t="shared" si="501"/>
        <v>#NUM!</v>
      </c>
      <c r="I331" s="5" t="e">
        <f t="shared" si="502"/>
        <v>#NUM!</v>
      </c>
      <c r="J331" s="5">
        <v>324</v>
      </c>
      <c r="N331">
        <f t="shared" si="424"/>
        <v>1.8411070585500797</v>
      </c>
      <c r="O331">
        <f t="shared" si="493"/>
        <v>4.2253993131957657E-5</v>
      </c>
    </row>
    <row r="332" spans="1:19" x14ac:dyDescent="0.2">
      <c r="A332" t="e">
        <f t="shared" si="494"/>
        <v>#NUM!</v>
      </c>
      <c r="B332" t="e">
        <f t="shared" si="495"/>
        <v>#NUM!</v>
      </c>
      <c r="C332" t="e">
        <f t="shared" si="496"/>
        <v>#NUM!</v>
      </c>
      <c r="D332" t="e">
        <f t="shared" si="497"/>
        <v>#NUM!</v>
      </c>
      <c r="E332" t="e">
        <f t="shared" si="498"/>
        <v>#NUM!</v>
      </c>
      <c r="F332" t="e">
        <f t="shared" si="499"/>
        <v>#NUM!</v>
      </c>
      <c r="G332" t="e">
        <f t="shared" si="500"/>
        <v>#NUM!</v>
      </c>
      <c r="H332" s="5" t="e">
        <f t="shared" si="501"/>
        <v>#NUM!</v>
      </c>
      <c r="I332" s="5" t="e">
        <f t="shared" si="502"/>
        <v>#NUM!</v>
      </c>
      <c r="J332" s="5">
        <v>325</v>
      </c>
      <c r="N332">
        <f t="shared" si="419"/>
        <v>1.8410870583500778</v>
      </c>
      <c r="O332">
        <f t="shared" si="493"/>
        <v>-4.2253822631010962E-5</v>
      </c>
    </row>
    <row r="333" spans="1:19" x14ac:dyDescent="0.2">
      <c r="A333" t="e">
        <f t="shared" si="494"/>
        <v>#NUM!</v>
      </c>
      <c r="B333" t="e">
        <f t="shared" si="495"/>
        <v>#NUM!</v>
      </c>
      <c r="C333" t="e">
        <f t="shared" si="496"/>
        <v>#NUM!</v>
      </c>
      <c r="D333" t="e">
        <f t="shared" si="497"/>
        <v>#NUM!</v>
      </c>
      <c r="E333" t="e">
        <f t="shared" si="498"/>
        <v>#NUM!</v>
      </c>
      <c r="F333" t="e">
        <f t="shared" si="499"/>
        <v>#NUM!</v>
      </c>
      <c r="G333" t="e">
        <f t="shared" si="500"/>
        <v>#NUM!</v>
      </c>
      <c r="H333" s="5" t="e">
        <f t="shared" si="501"/>
        <v>#NUM!</v>
      </c>
      <c r="I333" s="5" t="e">
        <f t="shared" si="502"/>
        <v>#NUM!</v>
      </c>
      <c r="J333" s="5">
        <v>326</v>
      </c>
      <c r="N333" s="10">
        <f t="shared" ref="N333" si="507">Q330</f>
        <v>1.8410970584500788</v>
      </c>
      <c r="O333">
        <f t="shared" si="493"/>
        <v>0</v>
      </c>
      <c r="P333">
        <f t="shared" ref="P333:P364" si="508">(O332-O334)/(N332-N334)</f>
        <v>4.225348534256625</v>
      </c>
      <c r="Q333" s="10">
        <f t="shared" ref="Q333" si="509">N333-O333/P333</f>
        <v>1.8410970584500788</v>
      </c>
      <c r="R333">
        <v>109</v>
      </c>
      <c r="S333">
        <f t="shared" ref="S333:S364" si="510">N333</f>
        <v>1.8410970584500788</v>
      </c>
    </row>
    <row r="334" spans="1:19" x14ac:dyDescent="0.2">
      <c r="A334" t="e">
        <f t="shared" si="494"/>
        <v>#NUM!</v>
      </c>
      <c r="B334" t="e">
        <f t="shared" si="495"/>
        <v>#NUM!</v>
      </c>
      <c r="C334" t="e">
        <f t="shared" si="496"/>
        <v>#NUM!</v>
      </c>
      <c r="D334" t="e">
        <f t="shared" si="497"/>
        <v>#NUM!</v>
      </c>
      <c r="E334" t="e">
        <f t="shared" si="498"/>
        <v>#NUM!</v>
      </c>
      <c r="F334" t="e">
        <f t="shared" si="499"/>
        <v>#NUM!</v>
      </c>
      <c r="G334" t="e">
        <f t="shared" si="500"/>
        <v>#NUM!</v>
      </c>
      <c r="H334" s="5" t="e">
        <f t="shared" si="501"/>
        <v>#NUM!</v>
      </c>
      <c r="I334" s="5" t="e">
        <f t="shared" si="502"/>
        <v>#NUM!</v>
      </c>
      <c r="J334" s="5">
        <v>327</v>
      </c>
      <c r="N334">
        <f t="shared" si="424"/>
        <v>1.8411070585500797</v>
      </c>
      <c r="O334">
        <f t="shared" si="493"/>
        <v>4.2253993131957657E-5</v>
      </c>
    </row>
    <row r="335" spans="1:19" x14ac:dyDescent="0.2">
      <c r="A335" t="e">
        <f t="shared" si="494"/>
        <v>#NUM!</v>
      </c>
      <c r="B335" t="e">
        <f t="shared" si="495"/>
        <v>#NUM!</v>
      </c>
      <c r="C335" t="e">
        <f t="shared" si="496"/>
        <v>#NUM!</v>
      </c>
      <c r="D335" t="e">
        <f t="shared" si="497"/>
        <v>#NUM!</v>
      </c>
      <c r="E335" t="e">
        <f t="shared" si="498"/>
        <v>#NUM!</v>
      </c>
      <c r="F335" t="e">
        <f t="shared" si="499"/>
        <v>#NUM!</v>
      </c>
      <c r="G335" t="e">
        <f t="shared" si="500"/>
        <v>#NUM!</v>
      </c>
      <c r="H335" s="5" t="e">
        <f t="shared" si="501"/>
        <v>#NUM!</v>
      </c>
      <c r="I335" s="5" t="e">
        <f t="shared" si="502"/>
        <v>#NUM!</v>
      </c>
      <c r="J335" s="5">
        <v>328</v>
      </c>
      <c r="N335">
        <f t="shared" si="419"/>
        <v>1.8410870583500778</v>
      </c>
      <c r="O335">
        <f t="shared" si="493"/>
        <v>-4.2253822631010962E-5</v>
      </c>
    </row>
    <row r="336" spans="1:19" x14ac:dyDescent="0.2">
      <c r="A336" t="e">
        <f t="shared" si="494"/>
        <v>#NUM!</v>
      </c>
      <c r="B336" t="e">
        <f t="shared" si="495"/>
        <v>#NUM!</v>
      </c>
      <c r="C336" t="e">
        <f t="shared" si="496"/>
        <v>#NUM!</v>
      </c>
      <c r="D336" t="e">
        <f t="shared" si="497"/>
        <v>#NUM!</v>
      </c>
      <c r="E336" t="e">
        <f t="shared" si="498"/>
        <v>#NUM!</v>
      </c>
      <c r="F336" t="e">
        <f t="shared" si="499"/>
        <v>#NUM!</v>
      </c>
      <c r="G336" t="e">
        <f t="shared" si="500"/>
        <v>#NUM!</v>
      </c>
      <c r="H336" s="5" t="e">
        <f t="shared" si="501"/>
        <v>#NUM!</v>
      </c>
      <c r="I336" s="5" t="e">
        <f t="shared" si="502"/>
        <v>#NUM!</v>
      </c>
      <c r="J336" s="5">
        <v>329</v>
      </c>
      <c r="N336" s="10">
        <f t="shared" ref="N336" si="511">Q333</f>
        <v>1.8410970584500788</v>
      </c>
      <c r="O336">
        <f t="shared" si="493"/>
        <v>0</v>
      </c>
      <c r="P336">
        <f t="shared" ref="P336:P367" si="512">(O335-O337)/(N335-N337)</f>
        <v>4.225348534256625</v>
      </c>
      <c r="Q336" s="10">
        <f t="shared" ref="Q336" si="513">N336-O336/P336</f>
        <v>1.8410970584500788</v>
      </c>
      <c r="R336">
        <v>110</v>
      </c>
      <c r="S336">
        <f t="shared" ref="S336:S367" si="514">N336</f>
        <v>1.8410970584500788</v>
      </c>
    </row>
    <row r="337" spans="1:19" x14ac:dyDescent="0.2">
      <c r="A337" t="e">
        <f t="shared" si="494"/>
        <v>#NUM!</v>
      </c>
      <c r="B337" t="e">
        <f t="shared" si="495"/>
        <v>#NUM!</v>
      </c>
      <c r="C337" t="e">
        <f t="shared" si="496"/>
        <v>#NUM!</v>
      </c>
      <c r="D337" t="e">
        <f t="shared" si="497"/>
        <v>#NUM!</v>
      </c>
      <c r="E337" t="e">
        <f t="shared" si="498"/>
        <v>#NUM!</v>
      </c>
      <c r="F337" t="e">
        <f t="shared" si="499"/>
        <v>#NUM!</v>
      </c>
      <c r="G337" t="e">
        <f t="shared" si="500"/>
        <v>#NUM!</v>
      </c>
      <c r="H337" s="5" t="e">
        <f t="shared" si="501"/>
        <v>#NUM!</v>
      </c>
      <c r="I337" s="5" t="e">
        <f t="shared" si="502"/>
        <v>#NUM!</v>
      </c>
      <c r="J337" s="5">
        <v>330</v>
      </c>
      <c r="N337">
        <f t="shared" si="424"/>
        <v>1.8411070585500797</v>
      </c>
      <c r="O337">
        <f t="shared" si="493"/>
        <v>4.2253993131957657E-5</v>
      </c>
    </row>
    <row r="338" spans="1:19" x14ac:dyDescent="0.2">
      <c r="A338" t="e">
        <f t="shared" si="494"/>
        <v>#NUM!</v>
      </c>
      <c r="B338" t="e">
        <f t="shared" si="495"/>
        <v>#NUM!</v>
      </c>
      <c r="C338" t="e">
        <f t="shared" si="496"/>
        <v>#NUM!</v>
      </c>
      <c r="D338" t="e">
        <f t="shared" si="497"/>
        <v>#NUM!</v>
      </c>
      <c r="E338" t="e">
        <f t="shared" si="498"/>
        <v>#NUM!</v>
      </c>
      <c r="F338" t="e">
        <f t="shared" si="499"/>
        <v>#NUM!</v>
      </c>
      <c r="G338" t="e">
        <f t="shared" si="500"/>
        <v>#NUM!</v>
      </c>
      <c r="H338" s="5" t="e">
        <f t="shared" si="501"/>
        <v>#NUM!</v>
      </c>
      <c r="I338" s="5" t="e">
        <f t="shared" si="502"/>
        <v>#NUM!</v>
      </c>
      <c r="J338" s="5">
        <v>331</v>
      </c>
      <c r="N338">
        <f t="shared" si="419"/>
        <v>1.8410870583500778</v>
      </c>
      <c r="O338">
        <f t="shared" si="493"/>
        <v>-4.2253822631010962E-5</v>
      </c>
    </row>
    <row r="339" spans="1:19" x14ac:dyDescent="0.2">
      <c r="A339" t="e">
        <f t="shared" si="494"/>
        <v>#NUM!</v>
      </c>
      <c r="B339" t="e">
        <f t="shared" si="495"/>
        <v>#NUM!</v>
      </c>
      <c r="C339" t="e">
        <f t="shared" si="496"/>
        <v>#NUM!</v>
      </c>
      <c r="D339" t="e">
        <f t="shared" si="497"/>
        <v>#NUM!</v>
      </c>
      <c r="E339" t="e">
        <f t="shared" si="498"/>
        <v>#NUM!</v>
      </c>
      <c r="F339" t="e">
        <f t="shared" si="499"/>
        <v>#NUM!</v>
      </c>
      <c r="G339" t="e">
        <f t="shared" si="500"/>
        <v>#NUM!</v>
      </c>
      <c r="H339" s="5" t="e">
        <f t="shared" si="501"/>
        <v>#NUM!</v>
      </c>
      <c r="I339" s="5" t="e">
        <f t="shared" si="502"/>
        <v>#NUM!</v>
      </c>
      <c r="J339" s="5">
        <v>332</v>
      </c>
      <c r="N339" s="10">
        <f t="shared" ref="N339" si="515">Q336</f>
        <v>1.8410970584500788</v>
      </c>
      <c r="O339">
        <f t="shared" si="493"/>
        <v>0</v>
      </c>
      <c r="P339">
        <f t="shared" ref="P339:P370" si="516">(O338-O340)/(N338-N340)</f>
        <v>4.225348534256625</v>
      </c>
      <c r="Q339" s="10">
        <f t="shared" ref="Q339" si="517">N339-O339/P339</f>
        <v>1.8410970584500788</v>
      </c>
      <c r="R339">
        <v>111</v>
      </c>
      <c r="S339">
        <f t="shared" ref="S339:S370" si="518">N339</f>
        <v>1.8410970584500788</v>
      </c>
    </row>
    <row r="340" spans="1:19" x14ac:dyDescent="0.2">
      <c r="A340" t="e">
        <f t="shared" si="494"/>
        <v>#NUM!</v>
      </c>
      <c r="B340" t="e">
        <f t="shared" si="495"/>
        <v>#NUM!</v>
      </c>
      <c r="C340" t="e">
        <f t="shared" si="496"/>
        <v>#NUM!</v>
      </c>
      <c r="D340" t="e">
        <f t="shared" si="497"/>
        <v>#NUM!</v>
      </c>
      <c r="E340" t="e">
        <f t="shared" si="498"/>
        <v>#NUM!</v>
      </c>
      <c r="F340" t="e">
        <f t="shared" si="499"/>
        <v>#NUM!</v>
      </c>
      <c r="G340" t="e">
        <f t="shared" si="500"/>
        <v>#NUM!</v>
      </c>
      <c r="H340" s="5" t="e">
        <f t="shared" si="501"/>
        <v>#NUM!</v>
      </c>
      <c r="I340" s="5" t="e">
        <f t="shared" si="502"/>
        <v>#NUM!</v>
      </c>
      <c r="J340" s="5">
        <v>333</v>
      </c>
      <c r="N340">
        <f t="shared" si="424"/>
        <v>1.8411070585500797</v>
      </c>
      <c r="O340">
        <f t="shared" si="493"/>
        <v>4.2253993131957657E-5</v>
      </c>
    </row>
    <row r="341" spans="1:19" x14ac:dyDescent="0.2">
      <c r="A341" t="e">
        <f t="shared" si="494"/>
        <v>#NUM!</v>
      </c>
      <c r="B341" t="e">
        <f t="shared" si="495"/>
        <v>#NUM!</v>
      </c>
      <c r="C341" t="e">
        <f t="shared" si="496"/>
        <v>#NUM!</v>
      </c>
      <c r="D341" t="e">
        <f t="shared" si="497"/>
        <v>#NUM!</v>
      </c>
      <c r="E341" t="e">
        <f t="shared" si="498"/>
        <v>#NUM!</v>
      </c>
      <c r="F341" t="e">
        <f t="shared" si="499"/>
        <v>#NUM!</v>
      </c>
      <c r="G341" t="e">
        <f t="shared" si="500"/>
        <v>#NUM!</v>
      </c>
      <c r="H341" s="5" t="e">
        <f t="shared" si="501"/>
        <v>#NUM!</v>
      </c>
      <c r="I341" s="5" t="e">
        <f t="shared" si="502"/>
        <v>#NUM!</v>
      </c>
      <c r="J341" s="5">
        <v>334</v>
      </c>
      <c r="N341">
        <f t="shared" ref="N341:N404" si="519">N342-1/99999</f>
        <v>1.8410870583500778</v>
      </c>
      <c r="O341">
        <f t="shared" si="493"/>
        <v>-4.2253822631010962E-5</v>
      </c>
    </row>
    <row r="342" spans="1:19" x14ac:dyDescent="0.2">
      <c r="A342" t="e">
        <f t="shared" si="494"/>
        <v>#NUM!</v>
      </c>
      <c r="B342" t="e">
        <f t="shared" si="495"/>
        <v>#NUM!</v>
      </c>
      <c r="C342" t="e">
        <f t="shared" si="496"/>
        <v>#NUM!</v>
      </c>
      <c r="D342" t="e">
        <f t="shared" si="497"/>
        <v>#NUM!</v>
      </c>
      <c r="E342" t="e">
        <f t="shared" si="498"/>
        <v>#NUM!</v>
      </c>
      <c r="F342" t="e">
        <f t="shared" si="499"/>
        <v>#NUM!</v>
      </c>
      <c r="G342" t="e">
        <f t="shared" si="500"/>
        <v>#NUM!</v>
      </c>
      <c r="H342" s="5" t="e">
        <f t="shared" si="501"/>
        <v>#NUM!</v>
      </c>
      <c r="I342" s="5" t="e">
        <f t="shared" si="502"/>
        <v>#NUM!</v>
      </c>
      <c r="J342" s="5">
        <v>335</v>
      </c>
      <c r="N342" s="10">
        <f t="shared" ref="N342" si="520">Q339</f>
        <v>1.8410970584500788</v>
      </c>
      <c r="O342">
        <f t="shared" si="493"/>
        <v>0</v>
      </c>
      <c r="P342">
        <f t="shared" ref="P342:P373" si="521">(O341-O343)/(N341-N343)</f>
        <v>4.225348534256625</v>
      </c>
      <c r="Q342" s="10">
        <f t="shared" ref="Q342" si="522">N342-O342/P342</f>
        <v>1.8410970584500788</v>
      </c>
      <c r="R342">
        <v>112</v>
      </c>
      <c r="S342">
        <f t="shared" ref="S342:S373" si="523">N342</f>
        <v>1.8410970584500788</v>
      </c>
    </row>
    <row r="343" spans="1:19" x14ac:dyDescent="0.2">
      <c r="A343" t="e">
        <f t="shared" si="494"/>
        <v>#NUM!</v>
      </c>
      <c r="B343" t="e">
        <f t="shared" si="495"/>
        <v>#NUM!</v>
      </c>
      <c r="C343" t="e">
        <f t="shared" si="496"/>
        <v>#NUM!</v>
      </c>
      <c r="D343" t="e">
        <f t="shared" si="497"/>
        <v>#NUM!</v>
      </c>
      <c r="E343" t="e">
        <f t="shared" si="498"/>
        <v>#NUM!</v>
      </c>
      <c r="F343" t="e">
        <f t="shared" si="499"/>
        <v>#NUM!</v>
      </c>
      <c r="G343" t="e">
        <f t="shared" si="500"/>
        <v>#NUM!</v>
      </c>
      <c r="H343" s="5" t="e">
        <f t="shared" si="501"/>
        <v>#NUM!</v>
      </c>
      <c r="I343" s="5" t="e">
        <f t="shared" si="502"/>
        <v>#NUM!</v>
      </c>
      <c r="J343" s="5">
        <v>336</v>
      </c>
      <c r="N343">
        <f t="shared" ref="N343:N406" si="524">N342+1/99999</f>
        <v>1.8411070585500797</v>
      </c>
      <c r="O343">
        <f t="shared" si="493"/>
        <v>4.2253993131957657E-5</v>
      </c>
    </row>
    <row r="344" spans="1:19" x14ac:dyDescent="0.2">
      <c r="A344" t="e">
        <f t="shared" si="494"/>
        <v>#NUM!</v>
      </c>
      <c r="B344" t="e">
        <f t="shared" si="495"/>
        <v>#NUM!</v>
      </c>
      <c r="C344" t="e">
        <f t="shared" si="496"/>
        <v>#NUM!</v>
      </c>
      <c r="D344" t="e">
        <f t="shared" si="497"/>
        <v>#NUM!</v>
      </c>
      <c r="E344" t="e">
        <f t="shared" si="498"/>
        <v>#NUM!</v>
      </c>
      <c r="F344" t="e">
        <f t="shared" si="499"/>
        <v>#NUM!</v>
      </c>
      <c r="G344" t="e">
        <f t="shared" si="500"/>
        <v>#NUM!</v>
      </c>
      <c r="H344" s="5" t="e">
        <f t="shared" si="501"/>
        <v>#NUM!</v>
      </c>
      <c r="I344" s="5" t="e">
        <f t="shared" si="502"/>
        <v>#NUM!</v>
      </c>
      <c r="J344" s="5">
        <v>337</v>
      </c>
      <c r="N344">
        <f t="shared" si="519"/>
        <v>1.8410870583500778</v>
      </c>
      <c r="O344">
        <f t="shared" si="493"/>
        <v>-4.2253822631010962E-5</v>
      </c>
    </row>
    <row r="345" spans="1:19" x14ac:dyDescent="0.2">
      <c r="A345" t="e">
        <f t="shared" si="494"/>
        <v>#NUM!</v>
      </c>
      <c r="B345" t="e">
        <f t="shared" si="495"/>
        <v>#NUM!</v>
      </c>
      <c r="C345" t="e">
        <f t="shared" si="496"/>
        <v>#NUM!</v>
      </c>
      <c r="D345" t="e">
        <f t="shared" si="497"/>
        <v>#NUM!</v>
      </c>
      <c r="E345" t="e">
        <f t="shared" si="498"/>
        <v>#NUM!</v>
      </c>
      <c r="F345" t="e">
        <f t="shared" si="499"/>
        <v>#NUM!</v>
      </c>
      <c r="G345" t="e">
        <f t="shared" si="500"/>
        <v>#NUM!</v>
      </c>
      <c r="H345" s="5" t="e">
        <f t="shared" si="501"/>
        <v>#NUM!</v>
      </c>
      <c r="I345" s="5" t="e">
        <f t="shared" si="502"/>
        <v>#NUM!</v>
      </c>
      <c r="J345" s="5">
        <v>338</v>
      </c>
      <c r="N345" s="10">
        <f t="shared" ref="N345" si="525">Q342</f>
        <v>1.8410970584500788</v>
      </c>
      <c r="O345">
        <f t="shared" si="493"/>
        <v>0</v>
      </c>
      <c r="P345">
        <f t="shared" ref="P345:P376" si="526">(O344-O346)/(N344-N346)</f>
        <v>4.225348534256625</v>
      </c>
      <c r="Q345" s="10">
        <f t="shared" ref="Q345" si="527">N345-O345/P345</f>
        <v>1.8410970584500788</v>
      </c>
      <c r="R345">
        <v>113</v>
      </c>
      <c r="S345">
        <f t="shared" ref="S345:S376" si="528">N345</f>
        <v>1.8410970584500788</v>
      </c>
    </row>
    <row r="346" spans="1:19" x14ac:dyDescent="0.2">
      <c r="A346" t="e">
        <f t="shared" si="494"/>
        <v>#NUM!</v>
      </c>
      <c r="B346" t="e">
        <f t="shared" si="495"/>
        <v>#NUM!</v>
      </c>
      <c r="C346" t="e">
        <f t="shared" si="496"/>
        <v>#NUM!</v>
      </c>
      <c r="D346" t="e">
        <f t="shared" si="497"/>
        <v>#NUM!</v>
      </c>
      <c r="E346" t="e">
        <f t="shared" si="498"/>
        <v>#NUM!</v>
      </c>
      <c r="F346" t="e">
        <f t="shared" si="499"/>
        <v>#NUM!</v>
      </c>
      <c r="G346" t="e">
        <f t="shared" si="500"/>
        <v>#NUM!</v>
      </c>
      <c r="H346" s="5" t="e">
        <f t="shared" si="501"/>
        <v>#NUM!</v>
      </c>
      <c r="I346" s="5" t="e">
        <f t="shared" si="502"/>
        <v>#NUM!</v>
      </c>
      <c r="J346" s="5">
        <v>339</v>
      </c>
      <c r="N346">
        <f t="shared" si="524"/>
        <v>1.8411070585500797</v>
      </c>
      <c r="O346">
        <f t="shared" si="493"/>
        <v>4.2253993131957657E-5</v>
      </c>
    </row>
    <row r="347" spans="1:19" x14ac:dyDescent="0.2">
      <c r="A347" t="e">
        <f t="shared" si="494"/>
        <v>#NUM!</v>
      </c>
      <c r="B347" t="e">
        <f t="shared" si="495"/>
        <v>#NUM!</v>
      </c>
      <c r="C347" t="e">
        <f t="shared" si="496"/>
        <v>#NUM!</v>
      </c>
      <c r="D347" t="e">
        <f t="shared" si="497"/>
        <v>#NUM!</v>
      </c>
      <c r="E347" t="e">
        <f t="shared" si="498"/>
        <v>#NUM!</v>
      </c>
      <c r="F347" t="e">
        <f t="shared" si="499"/>
        <v>#NUM!</v>
      </c>
      <c r="G347" t="e">
        <f t="shared" si="500"/>
        <v>#NUM!</v>
      </c>
      <c r="H347" s="5" t="e">
        <f t="shared" si="501"/>
        <v>#NUM!</v>
      </c>
      <c r="I347" s="5" t="e">
        <f t="shared" si="502"/>
        <v>#NUM!</v>
      </c>
      <c r="J347" s="5">
        <v>340</v>
      </c>
      <c r="N347">
        <f t="shared" si="519"/>
        <v>1.8410870583500778</v>
      </c>
      <c r="O347">
        <f t="shared" si="493"/>
        <v>-4.2253822631010962E-5</v>
      </c>
    </row>
    <row r="348" spans="1:19" x14ac:dyDescent="0.2">
      <c r="A348" t="e">
        <f t="shared" si="494"/>
        <v>#NUM!</v>
      </c>
      <c r="B348" t="e">
        <f t="shared" si="495"/>
        <v>#NUM!</v>
      </c>
      <c r="C348" t="e">
        <f t="shared" si="496"/>
        <v>#NUM!</v>
      </c>
      <c r="D348" t="e">
        <f t="shared" si="497"/>
        <v>#NUM!</v>
      </c>
      <c r="E348" t="e">
        <f t="shared" si="498"/>
        <v>#NUM!</v>
      </c>
      <c r="F348" t="e">
        <f t="shared" si="499"/>
        <v>#NUM!</v>
      </c>
      <c r="G348" t="e">
        <f t="shared" si="500"/>
        <v>#NUM!</v>
      </c>
      <c r="H348" s="5" t="e">
        <f t="shared" si="501"/>
        <v>#NUM!</v>
      </c>
      <c r="I348" s="5" t="e">
        <f t="shared" si="502"/>
        <v>#NUM!</v>
      </c>
      <c r="J348" s="5">
        <v>341</v>
      </c>
      <c r="N348" s="10">
        <f t="shared" ref="N348" si="529">Q345</f>
        <v>1.8410970584500788</v>
      </c>
      <c r="O348">
        <f t="shared" si="493"/>
        <v>0</v>
      </c>
      <c r="P348">
        <f t="shared" ref="P348:P379" si="530">(O347-O349)/(N347-N349)</f>
        <v>4.225348534256625</v>
      </c>
      <c r="Q348" s="10">
        <f t="shared" ref="Q348" si="531">N348-O348/P348</f>
        <v>1.8410970584500788</v>
      </c>
      <c r="R348">
        <v>114</v>
      </c>
      <c r="S348">
        <f t="shared" ref="S348:S379" si="532">N348</f>
        <v>1.8410970584500788</v>
      </c>
    </row>
    <row r="349" spans="1:19" x14ac:dyDescent="0.2">
      <c r="A349" t="e">
        <f t="shared" si="494"/>
        <v>#NUM!</v>
      </c>
      <c r="B349" t="e">
        <f t="shared" si="495"/>
        <v>#NUM!</v>
      </c>
      <c r="C349" t="e">
        <f t="shared" si="496"/>
        <v>#NUM!</v>
      </c>
      <c r="D349" t="e">
        <f t="shared" si="497"/>
        <v>#NUM!</v>
      </c>
      <c r="E349" t="e">
        <f t="shared" si="498"/>
        <v>#NUM!</v>
      </c>
      <c r="F349" t="e">
        <f t="shared" si="499"/>
        <v>#NUM!</v>
      </c>
      <c r="G349" t="e">
        <f t="shared" si="500"/>
        <v>#NUM!</v>
      </c>
      <c r="H349" s="5" t="e">
        <f t="shared" si="501"/>
        <v>#NUM!</v>
      </c>
      <c r="I349" s="5" t="e">
        <f t="shared" si="502"/>
        <v>#NUM!</v>
      </c>
      <c r="J349" s="5">
        <v>342</v>
      </c>
      <c r="N349">
        <f t="shared" si="524"/>
        <v>1.8411070585500797</v>
      </c>
      <c r="O349">
        <f t="shared" si="493"/>
        <v>4.2253993131957657E-5</v>
      </c>
    </row>
    <row r="350" spans="1:19" x14ac:dyDescent="0.2">
      <c r="A350" t="e">
        <f t="shared" si="494"/>
        <v>#NUM!</v>
      </c>
      <c r="B350" t="e">
        <f t="shared" si="495"/>
        <v>#NUM!</v>
      </c>
      <c r="C350" t="e">
        <f t="shared" si="496"/>
        <v>#NUM!</v>
      </c>
      <c r="D350" t="e">
        <f t="shared" si="497"/>
        <v>#NUM!</v>
      </c>
      <c r="E350" t="e">
        <f t="shared" si="498"/>
        <v>#NUM!</v>
      </c>
      <c r="F350" t="e">
        <f t="shared" si="499"/>
        <v>#NUM!</v>
      </c>
      <c r="G350" t="e">
        <f t="shared" si="500"/>
        <v>#NUM!</v>
      </c>
      <c r="H350" s="5" t="e">
        <f t="shared" si="501"/>
        <v>#NUM!</v>
      </c>
      <c r="I350" s="5" t="e">
        <f t="shared" si="502"/>
        <v>#NUM!</v>
      </c>
      <c r="J350" s="5">
        <v>343</v>
      </c>
      <c r="N350">
        <f t="shared" si="519"/>
        <v>1.8410870583500778</v>
      </c>
      <c r="O350">
        <f t="shared" si="493"/>
        <v>-4.2253822631010962E-5</v>
      </c>
    </row>
    <row r="351" spans="1:19" x14ac:dyDescent="0.2">
      <c r="A351" t="e">
        <f t="shared" si="494"/>
        <v>#NUM!</v>
      </c>
      <c r="B351" t="e">
        <f t="shared" si="495"/>
        <v>#NUM!</v>
      </c>
      <c r="C351" t="e">
        <f t="shared" si="496"/>
        <v>#NUM!</v>
      </c>
      <c r="D351" t="e">
        <f t="shared" si="497"/>
        <v>#NUM!</v>
      </c>
      <c r="E351" t="e">
        <f t="shared" si="498"/>
        <v>#NUM!</v>
      </c>
      <c r="F351" t="e">
        <f t="shared" si="499"/>
        <v>#NUM!</v>
      </c>
      <c r="G351" t="e">
        <f t="shared" si="500"/>
        <v>#NUM!</v>
      </c>
      <c r="H351" s="5" t="e">
        <f t="shared" si="501"/>
        <v>#NUM!</v>
      </c>
      <c r="I351" s="5" t="e">
        <f t="shared" si="502"/>
        <v>#NUM!</v>
      </c>
      <c r="J351" s="5">
        <v>344</v>
      </c>
      <c r="N351" s="10">
        <f t="shared" ref="N351" si="533">Q348</f>
        <v>1.8410970584500788</v>
      </c>
      <c r="O351">
        <f t="shared" si="493"/>
        <v>0</v>
      </c>
      <c r="P351">
        <f t="shared" ref="P351:P382" si="534">(O350-O352)/(N350-N352)</f>
        <v>4.225348534256625</v>
      </c>
      <c r="Q351" s="10">
        <f t="shared" ref="Q351" si="535">N351-O351/P351</f>
        <v>1.8410970584500788</v>
      </c>
      <c r="R351">
        <v>115</v>
      </c>
      <c r="S351">
        <f t="shared" ref="S351:S382" si="536">N351</f>
        <v>1.8410970584500788</v>
      </c>
    </row>
    <row r="352" spans="1:19" x14ac:dyDescent="0.2">
      <c r="A352" t="e">
        <f t="shared" si="494"/>
        <v>#NUM!</v>
      </c>
      <c r="B352" t="e">
        <f t="shared" si="495"/>
        <v>#NUM!</v>
      </c>
      <c r="C352" t="e">
        <f t="shared" si="496"/>
        <v>#NUM!</v>
      </c>
      <c r="D352" t="e">
        <f t="shared" si="497"/>
        <v>#NUM!</v>
      </c>
      <c r="E352" t="e">
        <f t="shared" si="498"/>
        <v>#NUM!</v>
      </c>
      <c r="F352" t="e">
        <f t="shared" si="499"/>
        <v>#NUM!</v>
      </c>
      <c r="G352" t="e">
        <f t="shared" si="500"/>
        <v>#NUM!</v>
      </c>
      <c r="H352" s="5" t="e">
        <f t="shared" si="501"/>
        <v>#NUM!</v>
      </c>
      <c r="I352" s="5" t="e">
        <f t="shared" si="502"/>
        <v>#NUM!</v>
      </c>
      <c r="J352" s="5">
        <v>345</v>
      </c>
      <c r="N352">
        <f t="shared" si="524"/>
        <v>1.8411070585500797</v>
      </c>
      <c r="O352">
        <f t="shared" si="493"/>
        <v>4.2253993131957657E-5</v>
      </c>
    </row>
    <row r="353" spans="1:19" x14ac:dyDescent="0.2">
      <c r="A353" t="e">
        <f t="shared" si="494"/>
        <v>#NUM!</v>
      </c>
      <c r="B353" t="e">
        <f t="shared" si="495"/>
        <v>#NUM!</v>
      </c>
      <c r="C353" t="e">
        <f t="shared" si="496"/>
        <v>#NUM!</v>
      </c>
      <c r="D353" t="e">
        <f t="shared" si="497"/>
        <v>#NUM!</v>
      </c>
      <c r="E353" t="e">
        <f t="shared" si="498"/>
        <v>#NUM!</v>
      </c>
      <c r="F353" t="e">
        <f t="shared" si="499"/>
        <v>#NUM!</v>
      </c>
      <c r="G353" t="e">
        <f t="shared" si="500"/>
        <v>#NUM!</v>
      </c>
      <c r="H353" s="5" t="e">
        <f t="shared" si="501"/>
        <v>#NUM!</v>
      </c>
      <c r="I353" s="5" t="e">
        <f t="shared" si="502"/>
        <v>#NUM!</v>
      </c>
      <c r="J353" s="5">
        <v>346</v>
      </c>
      <c r="N353">
        <f t="shared" si="519"/>
        <v>1.8410870583500778</v>
      </c>
      <c r="O353">
        <f t="shared" si="493"/>
        <v>-4.2253822631010962E-5</v>
      </c>
    </row>
    <row r="354" spans="1:19" x14ac:dyDescent="0.2">
      <c r="A354" t="e">
        <f t="shared" si="494"/>
        <v>#NUM!</v>
      </c>
      <c r="B354" t="e">
        <f t="shared" si="495"/>
        <v>#NUM!</v>
      </c>
      <c r="C354" t="e">
        <f t="shared" si="496"/>
        <v>#NUM!</v>
      </c>
      <c r="D354" t="e">
        <f t="shared" si="497"/>
        <v>#NUM!</v>
      </c>
      <c r="E354" t="e">
        <f t="shared" si="498"/>
        <v>#NUM!</v>
      </c>
      <c r="F354" t="e">
        <f t="shared" si="499"/>
        <v>#NUM!</v>
      </c>
      <c r="G354" t="e">
        <f t="shared" si="500"/>
        <v>#NUM!</v>
      </c>
      <c r="H354" s="5" t="e">
        <f t="shared" si="501"/>
        <v>#NUM!</v>
      </c>
      <c r="I354" s="5" t="e">
        <f t="shared" si="502"/>
        <v>#NUM!</v>
      </c>
      <c r="J354" s="5">
        <v>347</v>
      </c>
      <c r="N354" s="10">
        <f t="shared" ref="N354" si="537">Q351</f>
        <v>1.8410970584500788</v>
      </c>
      <c r="O354">
        <f t="shared" si="493"/>
        <v>0</v>
      </c>
      <c r="P354">
        <f t="shared" ref="P354:P385" si="538">(O353-O355)/(N353-N355)</f>
        <v>4.225348534256625</v>
      </c>
      <c r="Q354" s="10">
        <f t="shared" ref="Q354" si="539">N354-O354/P354</f>
        <v>1.8410970584500788</v>
      </c>
      <c r="R354">
        <v>116</v>
      </c>
      <c r="S354">
        <f t="shared" ref="S354:S385" si="540">N354</f>
        <v>1.8410970584500788</v>
      </c>
    </row>
    <row r="355" spans="1:19" x14ac:dyDescent="0.2">
      <c r="A355" t="e">
        <f t="shared" si="494"/>
        <v>#NUM!</v>
      </c>
      <c r="B355" t="e">
        <f t="shared" si="495"/>
        <v>#NUM!</v>
      </c>
      <c r="C355" t="e">
        <f t="shared" si="496"/>
        <v>#NUM!</v>
      </c>
      <c r="D355" t="e">
        <f t="shared" si="497"/>
        <v>#NUM!</v>
      </c>
      <c r="E355" t="e">
        <f t="shared" si="498"/>
        <v>#NUM!</v>
      </c>
      <c r="F355" t="e">
        <f t="shared" si="499"/>
        <v>#NUM!</v>
      </c>
      <c r="G355" t="e">
        <f t="shared" si="500"/>
        <v>#NUM!</v>
      </c>
      <c r="H355" s="5" t="e">
        <f t="shared" si="501"/>
        <v>#NUM!</v>
      </c>
      <c r="I355" s="5" t="e">
        <f t="shared" si="502"/>
        <v>#NUM!</v>
      </c>
      <c r="J355" s="5">
        <v>348</v>
      </c>
      <c r="N355">
        <f t="shared" si="524"/>
        <v>1.8411070585500797</v>
      </c>
      <c r="O355">
        <f t="shared" si="493"/>
        <v>4.2253993131957657E-5</v>
      </c>
    </row>
    <row r="356" spans="1:19" x14ac:dyDescent="0.2">
      <c r="A356" t="e">
        <f t="shared" si="494"/>
        <v>#NUM!</v>
      </c>
      <c r="B356" t="e">
        <f t="shared" si="495"/>
        <v>#NUM!</v>
      </c>
      <c r="C356" t="e">
        <f t="shared" si="496"/>
        <v>#NUM!</v>
      </c>
      <c r="D356" t="e">
        <f t="shared" si="497"/>
        <v>#NUM!</v>
      </c>
      <c r="E356" t="e">
        <f t="shared" si="498"/>
        <v>#NUM!</v>
      </c>
      <c r="F356" t="e">
        <f t="shared" si="499"/>
        <v>#NUM!</v>
      </c>
      <c r="G356" t="e">
        <f t="shared" si="500"/>
        <v>#NUM!</v>
      </c>
      <c r="H356" s="5" t="e">
        <f t="shared" si="501"/>
        <v>#NUM!</v>
      </c>
      <c r="I356" s="5" t="e">
        <f t="shared" si="502"/>
        <v>#NUM!</v>
      </c>
      <c r="J356" s="5">
        <v>349</v>
      </c>
      <c r="N356">
        <f t="shared" si="519"/>
        <v>1.8410870583500778</v>
      </c>
      <c r="O356">
        <f t="shared" si="493"/>
        <v>-4.2253822631010962E-5</v>
      </c>
    </row>
    <row r="357" spans="1:19" x14ac:dyDescent="0.2">
      <c r="A357" t="e">
        <f t="shared" si="494"/>
        <v>#NUM!</v>
      </c>
      <c r="B357" t="e">
        <f t="shared" si="495"/>
        <v>#NUM!</v>
      </c>
      <c r="C357" t="e">
        <f t="shared" si="496"/>
        <v>#NUM!</v>
      </c>
      <c r="D357" t="e">
        <f t="shared" si="497"/>
        <v>#NUM!</v>
      </c>
      <c r="E357" t="e">
        <f t="shared" si="498"/>
        <v>#NUM!</v>
      </c>
      <c r="F357" t="e">
        <f t="shared" si="499"/>
        <v>#NUM!</v>
      </c>
      <c r="G357" t="e">
        <f t="shared" si="500"/>
        <v>#NUM!</v>
      </c>
      <c r="H357" s="5" t="e">
        <f t="shared" si="501"/>
        <v>#NUM!</v>
      </c>
      <c r="I357" s="5" t="e">
        <f t="shared" si="502"/>
        <v>#NUM!</v>
      </c>
      <c r="J357" s="5">
        <v>350</v>
      </c>
      <c r="N357" s="10">
        <f t="shared" ref="N357" si="541">Q354</f>
        <v>1.8410970584500788</v>
      </c>
      <c r="O357">
        <f t="shared" si="493"/>
        <v>0</v>
      </c>
      <c r="P357">
        <f t="shared" ref="P357:P388" si="542">(O356-O358)/(N356-N358)</f>
        <v>4.225348534256625</v>
      </c>
      <c r="Q357" s="10">
        <f t="shared" ref="Q357" si="543">N357-O357/P357</f>
        <v>1.8410970584500788</v>
      </c>
      <c r="R357">
        <v>117</v>
      </c>
      <c r="S357">
        <f t="shared" ref="S357:S388" si="544">N357</f>
        <v>1.8410970584500788</v>
      </c>
    </row>
    <row r="358" spans="1:19" x14ac:dyDescent="0.2">
      <c r="A358" t="e">
        <f t="shared" si="494"/>
        <v>#NUM!</v>
      </c>
      <c r="B358" t="e">
        <f t="shared" si="495"/>
        <v>#NUM!</v>
      </c>
      <c r="C358" t="e">
        <f t="shared" si="496"/>
        <v>#NUM!</v>
      </c>
      <c r="D358" t="e">
        <f t="shared" si="497"/>
        <v>#NUM!</v>
      </c>
      <c r="E358" t="e">
        <f t="shared" si="498"/>
        <v>#NUM!</v>
      </c>
      <c r="F358" t="e">
        <f t="shared" si="499"/>
        <v>#NUM!</v>
      </c>
      <c r="G358" t="e">
        <f t="shared" si="500"/>
        <v>#NUM!</v>
      </c>
      <c r="H358" s="5" t="e">
        <f t="shared" si="501"/>
        <v>#NUM!</v>
      </c>
      <c r="I358" s="5" t="e">
        <f t="shared" si="502"/>
        <v>#NUM!</v>
      </c>
      <c r="J358" s="5">
        <v>351</v>
      </c>
      <c r="N358">
        <f t="shared" si="524"/>
        <v>1.8411070585500797</v>
      </c>
      <c r="O358">
        <f t="shared" si="493"/>
        <v>4.2253993131957657E-5</v>
      </c>
    </row>
    <row r="359" spans="1:19" x14ac:dyDescent="0.2">
      <c r="A359" t="e">
        <f t="shared" si="494"/>
        <v>#NUM!</v>
      </c>
      <c r="B359" t="e">
        <f t="shared" si="495"/>
        <v>#NUM!</v>
      </c>
      <c r="C359" t="e">
        <f t="shared" si="496"/>
        <v>#NUM!</v>
      </c>
      <c r="D359" t="e">
        <f t="shared" si="497"/>
        <v>#NUM!</v>
      </c>
      <c r="E359" t="e">
        <f t="shared" si="498"/>
        <v>#NUM!</v>
      </c>
      <c r="F359" t="e">
        <f t="shared" si="499"/>
        <v>#NUM!</v>
      </c>
      <c r="G359" t="e">
        <f t="shared" si="500"/>
        <v>#NUM!</v>
      </c>
      <c r="H359" s="5" t="e">
        <f t="shared" si="501"/>
        <v>#NUM!</v>
      </c>
      <c r="I359" s="5" t="e">
        <f t="shared" si="502"/>
        <v>#NUM!</v>
      </c>
      <c r="J359" s="5">
        <v>352</v>
      </c>
      <c r="N359">
        <f t="shared" si="519"/>
        <v>1.8410870583500778</v>
      </c>
      <c r="O359">
        <f t="shared" si="493"/>
        <v>-4.2253822631010962E-5</v>
      </c>
    </row>
    <row r="360" spans="1:19" x14ac:dyDescent="0.2">
      <c r="A360" t="e">
        <f t="shared" si="494"/>
        <v>#NUM!</v>
      </c>
      <c r="B360" t="e">
        <f t="shared" si="495"/>
        <v>#NUM!</v>
      </c>
      <c r="C360" t="e">
        <f t="shared" si="496"/>
        <v>#NUM!</v>
      </c>
      <c r="D360" t="e">
        <f t="shared" si="497"/>
        <v>#NUM!</v>
      </c>
      <c r="E360" t="e">
        <f t="shared" si="498"/>
        <v>#NUM!</v>
      </c>
      <c r="F360" t="e">
        <f t="shared" si="499"/>
        <v>#NUM!</v>
      </c>
      <c r="G360" t="e">
        <f t="shared" si="500"/>
        <v>#NUM!</v>
      </c>
      <c r="H360" s="5" t="e">
        <f t="shared" si="501"/>
        <v>#NUM!</v>
      </c>
      <c r="I360" s="5" t="e">
        <f t="shared" si="502"/>
        <v>#NUM!</v>
      </c>
      <c r="J360" s="5">
        <v>353</v>
      </c>
      <c r="N360" s="10">
        <f t="shared" ref="N360" si="545">Q357</f>
        <v>1.8410970584500788</v>
      </c>
      <c r="O360">
        <f t="shared" si="493"/>
        <v>0</v>
      </c>
      <c r="P360">
        <f t="shared" ref="P360:P391" si="546">(O359-O361)/(N359-N361)</f>
        <v>4.225348534256625</v>
      </c>
      <c r="Q360" s="10">
        <f t="shared" ref="Q360" si="547">N360-O360/P360</f>
        <v>1.8410970584500788</v>
      </c>
      <c r="R360">
        <v>118</v>
      </c>
      <c r="S360">
        <f t="shared" ref="S360:S391" si="548">N360</f>
        <v>1.8410970584500788</v>
      </c>
    </row>
    <row r="361" spans="1:19" x14ac:dyDescent="0.2">
      <c r="A361" t="e">
        <f t="shared" si="494"/>
        <v>#NUM!</v>
      </c>
      <c r="B361" t="e">
        <f t="shared" si="495"/>
        <v>#NUM!</v>
      </c>
      <c r="C361" t="e">
        <f t="shared" si="496"/>
        <v>#NUM!</v>
      </c>
      <c r="D361" t="e">
        <f t="shared" si="497"/>
        <v>#NUM!</v>
      </c>
      <c r="E361" t="e">
        <f t="shared" si="498"/>
        <v>#NUM!</v>
      </c>
      <c r="F361" t="e">
        <f t="shared" si="499"/>
        <v>#NUM!</v>
      </c>
      <c r="G361" t="e">
        <f t="shared" si="500"/>
        <v>#NUM!</v>
      </c>
      <c r="H361" s="5" t="e">
        <f t="shared" si="501"/>
        <v>#NUM!</v>
      </c>
      <c r="I361" s="5" t="e">
        <f t="shared" si="502"/>
        <v>#NUM!</v>
      </c>
      <c r="J361" s="5">
        <v>354</v>
      </c>
      <c r="N361">
        <f t="shared" si="524"/>
        <v>1.8411070585500797</v>
      </c>
      <c r="O361">
        <f t="shared" si="493"/>
        <v>4.2253993131957657E-5</v>
      </c>
    </row>
    <row r="362" spans="1:19" x14ac:dyDescent="0.2">
      <c r="A362" t="e">
        <f t="shared" si="494"/>
        <v>#NUM!</v>
      </c>
      <c r="B362" t="e">
        <f t="shared" si="495"/>
        <v>#NUM!</v>
      </c>
      <c r="C362" t="e">
        <f t="shared" si="496"/>
        <v>#NUM!</v>
      </c>
      <c r="D362" t="e">
        <f t="shared" si="497"/>
        <v>#NUM!</v>
      </c>
      <c r="E362" t="e">
        <f t="shared" si="498"/>
        <v>#NUM!</v>
      </c>
      <c r="F362" t="e">
        <f t="shared" si="499"/>
        <v>#NUM!</v>
      </c>
      <c r="G362" t="e">
        <f t="shared" si="500"/>
        <v>#NUM!</v>
      </c>
      <c r="H362" s="5" t="e">
        <f t="shared" si="501"/>
        <v>#NUM!</v>
      </c>
      <c r="I362" s="5" t="e">
        <f t="shared" si="502"/>
        <v>#NUM!</v>
      </c>
      <c r="J362" s="5">
        <v>355</v>
      </c>
      <c r="N362">
        <f t="shared" si="519"/>
        <v>1.8410870583500778</v>
      </c>
      <c r="O362">
        <f t="shared" si="493"/>
        <v>-4.2253822631010962E-5</v>
      </c>
    </row>
    <row r="363" spans="1:19" x14ac:dyDescent="0.2">
      <c r="A363" t="e">
        <f t="shared" si="494"/>
        <v>#NUM!</v>
      </c>
      <c r="B363" t="e">
        <f t="shared" si="495"/>
        <v>#NUM!</v>
      </c>
      <c r="C363" t="e">
        <f t="shared" si="496"/>
        <v>#NUM!</v>
      </c>
      <c r="D363" t="e">
        <f t="shared" si="497"/>
        <v>#NUM!</v>
      </c>
      <c r="E363" t="e">
        <f t="shared" si="498"/>
        <v>#NUM!</v>
      </c>
      <c r="F363" t="e">
        <f t="shared" si="499"/>
        <v>#NUM!</v>
      </c>
      <c r="G363" t="e">
        <f t="shared" si="500"/>
        <v>#NUM!</v>
      </c>
      <c r="H363" s="5" t="e">
        <f t="shared" si="501"/>
        <v>#NUM!</v>
      </c>
      <c r="I363" s="5" t="e">
        <f t="shared" si="502"/>
        <v>#NUM!</v>
      </c>
      <c r="J363" s="5">
        <v>356</v>
      </c>
      <c r="N363" s="10">
        <f t="shared" ref="N363" si="549">Q360</f>
        <v>1.8410970584500788</v>
      </c>
      <c r="O363">
        <f t="shared" si="493"/>
        <v>0</v>
      </c>
      <c r="P363">
        <f t="shared" ref="P363:P394" si="550">(O362-O364)/(N362-N364)</f>
        <v>4.225348534256625</v>
      </c>
      <c r="Q363" s="10">
        <f t="shared" ref="Q363" si="551">N363-O363/P363</f>
        <v>1.8410970584500788</v>
      </c>
      <c r="R363">
        <v>119</v>
      </c>
      <c r="S363">
        <f t="shared" ref="S363:S394" si="552">N363</f>
        <v>1.8410970584500788</v>
      </c>
    </row>
    <row r="364" spans="1:19" x14ac:dyDescent="0.2">
      <c r="A364" t="e">
        <f t="shared" si="494"/>
        <v>#NUM!</v>
      </c>
      <c r="B364" t="e">
        <f t="shared" si="495"/>
        <v>#NUM!</v>
      </c>
      <c r="C364" t="e">
        <f t="shared" si="496"/>
        <v>#NUM!</v>
      </c>
      <c r="D364" t="e">
        <f t="shared" si="497"/>
        <v>#NUM!</v>
      </c>
      <c r="E364" t="e">
        <f t="shared" si="498"/>
        <v>#NUM!</v>
      </c>
      <c r="F364" t="e">
        <f t="shared" si="499"/>
        <v>#NUM!</v>
      </c>
      <c r="G364" t="e">
        <f t="shared" si="500"/>
        <v>#NUM!</v>
      </c>
      <c r="H364" s="5" t="e">
        <f t="shared" si="501"/>
        <v>#NUM!</v>
      </c>
      <c r="I364" s="5" t="e">
        <f t="shared" si="502"/>
        <v>#NUM!</v>
      </c>
      <c r="J364" s="5">
        <v>357</v>
      </c>
      <c r="N364">
        <f t="shared" si="524"/>
        <v>1.8411070585500797</v>
      </c>
      <c r="O364">
        <f t="shared" si="493"/>
        <v>4.2253993131957657E-5</v>
      </c>
    </row>
    <row r="365" spans="1:19" x14ac:dyDescent="0.2">
      <c r="A365" t="e">
        <f t="shared" si="494"/>
        <v>#NUM!</v>
      </c>
      <c r="B365" t="e">
        <f t="shared" si="495"/>
        <v>#NUM!</v>
      </c>
      <c r="C365" t="e">
        <f t="shared" si="496"/>
        <v>#NUM!</v>
      </c>
      <c r="D365" t="e">
        <f t="shared" si="497"/>
        <v>#NUM!</v>
      </c>
      <c r="E365" t="e">
        <f t="shared" si="498"/>
        <v>#NUM!</v>
      </c>
      <c r="F365" t="e">
        <f t="shared" si="499"/>
        <v>#NUM!</v>
      </c>
      <c r="G365" t="e">
        <f t="shared" si="500"/>
        <v>#NUM!</v>
      </c>
      <c r="H365" s="5" t="e">
        <f t="shared" si="501"/>
        <v>#NUM!</v>
      </c>
      <c r="I365" s="5" t="e">
        <f t="shared" si="502"/>
        <v>#NUM!</v>
      </c>
      <c r="J365" s="5">
        <v>358</v>
      </c>
      <c r="N365">
        <f t="shared" si="519"/>
        <v>1.8410870583500778</v>
      </c>
      <c r="O365">
        <f t="shared" si="493"/>
        <v>-4.2253822631010962E-5</v>
      </c>
    </row>
    <row r="366" spans="1:19" x14ac:dyDescent="0.2">
      <c r="A366" t="e">
        <f t="shared" si="494"/>
        <v>#NUM!</v>
      </c>
      <c r="B366" t="e">
        <f t="shared" si="495"/>
        <v>#NUM!</v>
      </c>
      <c r="C366" t="e">
        <f t="shared" si="496"/>
        <v>#NUM!</v>
      </c>
      <c r="D366" t="e">
        <f t="shared" si="497"/>
        <v>#NUM!</v>
      </c>
      <c r="E366" t="e">
        <f t="shared" si="498"/>
        <v>#NUM!</v>
      </c>
      <c r="F366" t="e">
        <f t="shared" si="499"/>
        <v>#NUM!</v>
      </c>
      <c r="G366" t="e">
        <f t="shared" si="500"/>
        <v>#NUM!</v>
      </c>
      <c r="H366" s="5" t="e">
        <f t="shared" si="501"/>
        <v>#NUM!</v>
      </c>
      <c r="I366" s="5" t="e">
        <f t="shared" si="502"/>
        <v>#NUM!</v>
      </c>
      <c r="J366" s="5">
        <v>359</v>
      </c>
      <c r="N366" s="10">
        <f t="shared" ref="N366" si="553">Q363</f>
        <v>1.8410970584500788</v>
      </c>
      <c r="O366">
        <f t="shared" si="493"/>
        <v>0</v>
      </c>
      <c r="P366">
        <f t="shared" ref="P366:P397" si="554">(O365-O367)/(N365-N367)</f>
        <v>4.225348534256625</v>
      </c>
      <c r="Q366" s="10">
        <f t="shared" ref="Q366" si="555">N366-O366/P366</f>
        <v>1.8410970584500788</v>
      </c>
      <c r="R366">
        <v>120</v>
      </c>
      <c r="S366">
        <f t="shared" ref="S366:S397" si="556">N366</f>
        <v>1.8410970584500788</v>
      </c>
    </row>
    <row r="367" spans="1:19" x14ac:dyDescent="0.2">
      <c r="A367" t="e">
        <f t="shared" si="494"/>
        <v>#NUM!</v>
      </c>
      <c r="B367" t="e">
        <f t="shared" si="495"/>
        <v>#NUM!</v>
      </c>
      <c r="C367" t="e">
        <f t="shared" si="496"/>
        <v>#NUM!</v>
      </c>
      <c r="D367" t="e">
        <f t="shared" si="497"/>
        <v>#NUM!</v>
      </c>
      <c r="E367" t="e">
        <f t="shared" si="498"/>
        <v>#NUM!</v>
      </c>
      <c r="F367" t="e">
        <f t="shared" si="499"/>
        <v>#NUM!</v>
      </c>
      <c r="G367" t="e">
        <f t="shared" si="500"/>
        <v>#NUM!</v>
      </c>
      <c r="H367" s="5" t="e">
        <f t="shared" si="501"/>
        <v>#NUM!</v>
      </c>
      <c r="I367" s="5" t="e">
        <f t="shared" si="502"/>
        <v>#NUM!</v>
      </c>
      <c r="J367" s="5">
        <v>360</v>
      </c>
      <c r="N367">
        <f t="shared" si="524"/>
        <v>1.8411070585500797</v>
      </c>
      <c r="O367">
        <f t="shared" si="493"/>
        <v>4.2253993131957657E-5</v>
      </c>
    </row>
    <row r="368" spans="1:19" x14ac:dyDescent="0.2">
      <c r="A368" t="e">
        <f t="shared" si="494"/>
        <v>#NUM!</v>
      </c>
      <c r="B368" t="e">
        <f t="shared" si="495"/>
        <v>#NUM!</v>
      </c>
      <c r="C368" t="e">
        <f t="shared" si="496"/>
        <v>#NUM!</v>
      </c>
      <c r="D368" t="e">
        <f t="shared" si="497"/>
        <v>#NUM!</v>
      </c>
      <c r="E368" t="e">
        <f t="shared" si="498"/>
        <v>#NUM!</v>
      </c>
      <c r="F368" t="e">
        <f t="shared" si="499"/>
        <v>#NUM!</v>
      </c>
      <c r="G368" t="e">
        <f t="shared" si="500"/>
        <v>#NUM!</v>
      </c>
      <c r="H368" s="5" t="e">
        <f t="shared" si="501"/>
        <v>#NUM!</v>
      </c>
      <c r="I368" s="5" t="e">
        <f t="shared" si="502"/>
        <v>#NUM!</v>
      </c>
      <c r="J368" s="5">
        <v>361</v>
      </c>
      <c r="N368">
        <f t="shared" si="519"/>
        <v>1.8410870583500778</v>
      </c>
      <c r="O368">
        <f t="shared" si="493"/>
        <v>-4.2253822631010962E-5</v>
      </c>
    </row>
    <row r="369" spans="1:19" x14ac:dyDescent="0.2">
      <c r="A369" t="e">
        <f t="shared" si="494"/>
        <v>#NUM!</v>
      </c>
      <c r="B369" t="e">
        <f t="shared" si="495"/>
        <v>#NUM!</v>
      </c>
      <c r="C369" t="e">
        <f t="shared" si="496"/>
        <v>#NUM!</v>
      </c>
      <c r="D369" t="e">
        <f t="shared" si="497"/>
        <v>#NUM!</v>
      </c>
      <c r="E369" t="e">
        <f t="shared" si="498"/>
        <v>#NUM!</v>
      </c>
      <c r="F369" t="e">
        <f t="shared" si="499"/>
        <v>#NUM!</v>
      </c>
      <c r="G369" t="e">
        <f t="shared" si="500"/>
        <v>#NUM!</v>
      </c>
      <c r="H369" s="5" t="e">
        <f t="shared" si="501"/>
        <v>#NUM!</v>
      </c>
      <c r="I369" s="5" t="e">
        <f t="shared" si="502"/>
        <v>#NUM!</v>
      </c>
      <c r="J369" s="5">
        <v>362</v>
      </c>
      <c r="N369" s="10">
        <f t="shared" ref="N369" si="557">Q366</f>
        <v>1.8410970584500788</v>
      </c>
      <c r="O369">
        <f t="shared" si="493"/>
        <v>0</v>
      </c>
      <c r="P369">
        <f t="shared" ref="P369:P400" si="558">(O368-O370)/(N368-N370)</f>
        <v>4.225348534256625</v>
      </c>
      <c r="Q369" s="10">
        <f t="shared" ref="Q369" si="559">N369-O369/P369</f>
        <v>1.8410970584500788</v>
      </c>
      <c r="R369">
        <v>121</v>
      </c>
      <c r="S369">
        <f t="shared" ref="S369:S400" si="560">N369</f>
        <v>1.8410970584500788</v>
      </c>
    </row>
    <row r="370" spans="1:19" x14ac:dyDescent="0.2">
      <c r="A370" t="e">
        <f t="shared" si="494"/>
        <v>#NUM!</v>
      </c>
      <c r="B370" t="e">
        <f t="shared" si="495"/>
        <v>#NUM!</v>
      </c>
      <c r="C370" t="e">
        <f t="shared" si="496"/>
        <v>#NUM!</v>
      </c>
      <c r="D370" t="e">
        <f t="shared" si="497"/>
        <v>#NUM!</v>
      </c>
      <c r="E370" t="e">
        <f t="shared" si="498"/>
        <v>#NUM!</v>
      </c>
      <c r="F370" t="e">
        <f t="shared" si="499"/>
        <v>#NUM!</v>
      </c>
      <c r="G370" t="e">
        <f t="shared" si="500"/>
        <v>#NUM!</v>
      </c>
      <c r="H370" s="5" t="e">
        <f t="shared" si="501"/>
        <v>#NUM!</v>
      </c>
      <c r="I370" s="5" t="e">
        <f t="shared" si="502"/>
        <v>#NUM!</v>
      </c>
      <c r="J370" s="5">
        <v>363</v>
      </c>
      <c r="N370">
        <f t="shared" si="524"/>
        <v>1.8411070585500797</v>
      </c>
      <c r="O370">
        <f t="shared" si="493"/>
        <v>4.2253993131957657E-5</v>
      </c>
    </row>
    <row r="371" spans="1:19" x14ac:dyDescent="0.2">
      <c r="A371" t="e">
        <f t="shared" si="494"/>
        <v>#NUM!</v>
      </c>
      <c r="B371" t="e">
        <f t="shared" si="495"/>
        <v>#NUM!</v>
      </c>
      <c r="C371" t="e">
        <f t="shared" si="496"/>
        <v>#NUM!</v>
      </c>
      <c r="D371" t="e">
        <f t="shared" si="497"/>
        <v>#NUM!</v>
      </c>
      <c r="E371" t="e">
        <f t="shared" si="498"/>
        <v>#NUM!</v>
      </c>
      <c r="F371" t="e">
        <f t="shared" si="499"/>
        <v>#NUM!</v>
      </c>
      <c r="G371" t="e">
        <f t="shared" si="500"/>
        <v>#NUM!</v>
      </c>
      <c r="H371" s="5" t="e">
        <f t="shared" si="501"/>
        <v>#NUM!</v>
      </c>
      <c r="I371" s="5" t="e">
        <f t="shared" si="502"/>
        <v>#NUM!</v>
      </c>
      <c r="J371" s="5">
        <v>364</v>
      </c>
      <c r="N371">
        <f t="shared" si="519"/>
        <v>1.8410870583500778</v>
      </c>
      <c r="O371">
        <f t="shared" si="493"/>
        <v>-4.2253822631010962E-5</v>
      </c>
    </row>
    <row r="372" spans="1:19" x14ac:dyDescent="0.2">
      <c r="A372" t="e">
        <f t="shared" si="494"/>
        <v>#NUM!</v>
      </c>
      <c r="B372" t="e">
        <f t="shared" si="495"/>
        <v>#NUM!</v>
      </c>
      <c r="C372" t="e">
        <f t="shared" si="496"/>
        <v>#NUM!</v>
      </c>
      <c r="D372" t="e">
        <f t="shared" si="497"/>
        <v>#NUM!</v>
      </c>
      <c r="E372" t="e">
        <f t="shared" si="498"/>
        <v>#NUM!</v>
      </c>
      <c r="F372" t="e">
        <f t="shared" si="499"/>
        <v>#NUM!</v>
      </c>
      <c r="G372" t="e">
        <f t="shared" si="500"/>
        <v>#NUM!</v>
      </c>
      <c r="H372" s="5" t="e">
        <f t="shared" si="501"/>
        <v>#NUM!</v>
      </c>
      <c r="I372" s="5" t="e">
        <f t="shared" si="502"/>
        <v>#NUM!</v>
      </c>
      <c r="J372" s="5">
        <v>365</v>
      </c>
      <c r="N372" s="10">
        <f t="shared" ref="N372" si="561">Q369</f>
        <v>1.8410970584500788</v>
      </c>
      <c r="O372">
        <f t="shared" si="493"/>
        <v>0</v>
      </c>
      <c r="P372">
        <f t="shared" ref="P372:P403" si="562">(O371-O373)/(N371-N373)</f>
        <v>4.225348534256625</v>
      </c>
      <c r="Q372" s="10">
        <f t="shared" ref="Q372" si="563">N372-O372/P372</f>
        <v>1.8410970584500788</v>
      </c>
      <c r="R372">
        <v>122</v>
      </c>
      <c r="S372">
        <f t="shared" ref="S372:S403" si="564">N372</f>
        <v>1.8410970584500788</v>
      </c>
    </row>
    <row r="373" spans="1:19" x14ac:dyDescent="0.2">
      <c r="A373" t="e">
        <f t="shared" si="494"/>
        <v>#NUM!</v>
      </c>
      <c r="B373" t="e">
        <f t="shared" si="495"/>
        <v>#NUM!</v>
      </c>
      <c r="C373" t="e">
        <f t="shared" si="496"/>
        <v>#NUM!</v>
      </c>
      <c r="D373" t="e">
        <f t="shared" si="497"/>
        <v>#NUM!</v>
      </c>
      <c r="E373" t="e">
        <f t="shared" si="498"/>
        <v>#NUM!</v>
      </c>
      <c r="F373" t="e">
        <f t="shared" si="499"/>
        <v>#NUM!</v>
      </c>
      <c r="G373" t="e">
        <f t="shared" si="500"/>
        <v>#NUM!</v>
      </c>
      <c r="H373" s="5" t="e">
        <f t="shared" si="501"/>
        <v>#NUM!</v>
      </c>
      <c r="I373" s="5" t="e">
        <f t="shared" si="502"/>
        <v>#NUM!</v>
      </c>
      <c r="J373" s="5">
        <v>366</v>
      </c>
      <c r="N373">
        <f t="shared" si="524"/>
        <v>1.8411070585500797</v>
      </c>
      <c r="O373">
        <f t="shared" si="493"/>
        <v>4.2253993131957657E-5</v>
      </c>
    </row>
    <row r="374" spans="1:19" x14ac:dyDescent="0.2">
      <c r="A374" t="e">
        <f t="shared" si="494"/>
        <v>#NUM!</v>
      </c>
      <c r="B374" t="e">
        <f t="shared" si="495"/>
        <v>#NUM!</v>
      </c>
      <c r="C374" t="e">
        <f t="shared" si="496"/>
        <v>#NUM!</v>
      </c>
      <c r="D374" t="e">
        <f t="shared" si="497"/>
        <v>#NUM!</v>
      </c>
      <c r="E374" t="e">
        <f t="shared" si="498"/>
        <v>#NUM!</v>
      </c>
      <c r="F374" t="e">
        <f t="shared" si="499"/>
        <v>#NUM!</v>
      </c>
      <c r="G374" t="e">
        <f t="shared" si="500"/>
        <v>#NUM!</v>
      </c>
      <c r="H374" s="5" t="e">
        <f t="shared" si="501"/>
        <v>#NUM!</v>
      </c>
      <c r="I374" s="5" t="e">
        <f t="shared" si="502"/>
        <v>#NUM!</v>
      </c>
      <c r="J374" s="5">
        <v>367</v>
      </c>
      <c r="N374">
        <f t="shared" si="519"/>
        <v>1.8410870583500778</v>
      </c>
      <c r="O374">
        <f t="shared" si="493"/>
        <v>-4.2253822631010962E-5</v>
      </c>
    </row>
    <row r="375" spans="1:19" x14ac:dyDescent="0.2">
      <c r="A375" t="e">
        <f t="shared" si="494"/>
        <v>#NUM!</v>
      </c>
      <c r="B375" t="e">
        <f t="shared" si="495"/>
        <v>#NUM!</v>
      </c>
      <c r="C375" t="e">
        <f t="shared" si="496"/>
        <v>#NUM!</v>
      </c>
      <c r="D375" t="e">
        <f t="shared" si="497"/>
        <v>#NUM!</v>
      </c>
      <c r="E375" t="e">
        <f t="shared" si="498"/>
        <v>#NUM!</v>
      </c>
      <c r="F375" t="e">
        <f t="shared" si="499"/>
        <v>#NUM!</v>
      </c>
      <c r="G375" t="e">
        <f t="shared" si="500"/>
        <v>#NUM!</v>
      </c>
      <c r="H375" s="5" t="e">
        <f t="shared" si="501"/>
        <v>#NUM!</v>
      </c>
      <c r="I375" s="5" t="e">
        <f t="shared" si="502"/>
        <v>#NUM!</v>
      </c>
      <c r="J375" s="5">
        <v>368</v>
      </c>
      <c r="N375" s="10">
        <f t="shared" ref="N375" si="565">Q372</f>
        <v>1.8410970584500788</v>
      </c>
      <c r="O375">
        <f t="shared" si="493"/>
        <v>0</v>
      </c>
      <c r="P375">
        <f t="shared" ref="P375:P406" si="566">(O374-O376)/(N374-N376)</f>
        <v>4.225348534256625</v>
      </c>
      <c r="Q375" s="10">
        <f t="shared" ref="Q375" si="567">N375-O375/P375</f>
        <v>1.8410970584500788</v>
      </c>
      <c r="R375">
        <v>123</v>
      </c>
      <c r="S375">
        <f t="shared" ref="S375:S406" si="568">N375</f>
        <v>1.8410970584500788</v>
      </c>
    </row>
    <row r="376" spans="1:19" x14ac:dyDescent="0.2">
      <c r="A376" t="e">
        <f t="shared" si="494"/>
        <v>#NUM!</v>
      </c>
      <c r="B376" t="e">
        <f t="shared" si="495"/>
        <v>#NUM!</v>
      </c>
      <c r="C376" t="e">
        <f t="shared" si="496"/>
        <v>#NUM!</v>
      </c>
      <c r="D376" t="e">
        <f t="shared" si="497"/>
        <v>#NUM!</v>
      </c>
      <c r="E376" t="e">
        <f t="shared" si="498"/>
        <v>#NUM!</v>
      </c>
      <c r="F376" t="e">
        <f t="shared" si="499"/>
        <v>#NUM!</v>
      </c>
      <c r="G376" t="e">
        <f t="shared" si="500"/>
        <v>#NUM!</v>
      </c>
      <c r="H376" s="5" t="e">
        <f t="shared" si="501"/>
        <v>#NUM!</v>
      </c>
      <c r="I376" s="5" t="e">
        <f t="shared" si="502"/>
        <v>#NUM!</v>
      </c>
      <c r="J376" s="5">
        <v>369</v>
      </c>
      <c r="N376">
        <f t="shared" si="524"/>
        <v>1.8411070585500797</v>
      </c>
      <c r="O376">
        <f t="shared" si="493"/>
        <v>4.2253993131957657E-5</v>
      </c>
    </row>
    <row r="377" spans="1:19" x14ac:dyDescent="0.2">
      <c r="A377" t="e">
        <f t="shared" si="494"/>
        <v>#NUM!</v>
      </c>
      <c r="B377" t="e">
        <f t="shared" si="495"/>
        <v>#NUM!</v>
      </c>
      <c r="C377" t="e">
        <f t="shared" si="496"/>
        <v>#NUM!</v>
      </c>
      <c r="D377" t="e">
        <f t="shared" si="497"/>
        <v>#NUM!</v>
      </c>
      <c r="E377" t="e">
        <f t="shared" si="498"/>
        <v>#NUM!</v>
      </c>
      <c r="F377" t="e">
        <f t="shared" si="499"/>
        <v>#NUM!</v>
      </c>
      <c r="G377" t="e">
        <f t="shared" si="500"/>
        <v>#NUM!</v>
      </c>
      <c r="H377" s="5" t="e">
        <f t="shared" si="501"/>
        <v>#NUM!</v>
      </c>
      <c r="I377" s="5" t="e">
        <f t="shared" si="502"/>
        <v>#NUM!</v>
      </c>
      <c r="J377" s="5">
        <v>370</v>
      </c>
      <c r="N377">
        <f t="shared" si="519"/>
        <v>1.8410870583500778</v>
      </c>
      <c r="O377">
        <f t="shared" si="493"/>
        <v>-4.2253822631010962E-5</v>
      </c>
    </row>
    <row r="378" spans="1:19" x14ac:dyDescent="0.2">
      <c r="A378" t="e">
        <f t="shared" si="494"/>
        <v>#NUM!</v>
      </c>
      <c r="B378" t="e">
        <f t="shared" si="495"/>
        <v>#NUM!</v>
      </c>
      <c r="C378" t="e">
        <f t="shared" si="496"/>
        <v>#NUM!</v>
      </c>
      <c r="D378" t="e">
        <f t="shared" si="497"/>
        <v>#NUM!</v>
      </c>
      <c r="E378" t="e">
        <f t="shared" si="498"/>
        <v>#NUM!</v>
      </c>
      <c r="F378" t="e">
        <f t="shared" si="499"/>
        <v>#NUM!</v>
      </c>
      <c r="G378" t="e">
        <f t="shared" si="500"/>
        <v>#NUM!</v>
      </c>
      <c r="H378" s="5" t="e">
        <f t="shared" si="501"/>
        <v>#NUM!</v>
      </c>
      <c r="I378" s="5" t="e">
        <f t="shared" si="502"/>
        <v>#NUM!</v>
      </c>
      <c r="J378" s="5">
        <v>371</v>
      </c>
      <c r="N378" s="10">
        <f t="shared" ref="N378" si="569">Q375</f>
        <v>1.8410970584500788</v>
      </c>
      <c r="O378">
        <f t="shared" si="493"/>
        <v>0</v>
      </c>
      <c r="P378">
        <f t="shared" ref="P378:P409" si="570">(O377-O379)/(N377-N379)</f>
        <v>4.225348534256625</v>
      </c>
      <c r="Q378" s="10">
        <f t="shared" ref="Q378" si="571">N378-O378/P378</f>
        <v>1.8410970584500788</v>
      </c>
      <c r="R378">
        <v>124</v>
      </c>
      <c r="S378">
        <f t="shared" ref="S378:S409" si="572">N378</f>
        <v>1.8410970584500788</v>
      </c>
    </row>
    <row r="379" spans="1:19" x14ac:dyDescent="0.2">
      <c r="A379" t="e">
        <f t="shared" si="494"/>
        <v>#NUM!</v>
      </c>
      <c r="B379" t="e">
        <f t="shared" si="495"/>
        <v>#NUM!</v>
      </c>
      <c r="C379" t="e">
        <f t="shared" si="496"/>
        <v>#NUM!</v>
      </c>
      <c r="D379" t="e">
        <f t="shared" si="497"/>
        <v>#NUM!</v>
      </c>
      <c r="E379" t="e">
        <f t="shared" si="498"/>
        <v>#NUM!</v>
      </c>
      <c r="F379" t="e">
        <f t="shared" si="499"/>
        <v>#NUM!</v>
      </c>
      <c r="G379" t="e">
        <f t="shared" si="500"/>
        <v>#NUM!</v>
      </c>
      <c r="H379" s="5" t="e">
        <f t="shared" si="501"/>
        <v>#NUM!</v>
      </c>
      <c r="I379" s="5" t="e">
        <f t="shared" si="502"/>
        <v>#NUM!</v>
      </c>
      <c r="J379" s="5">
        <v>372</v>
      </c>
      <c r="N379">
        <f t="shared" si="524"/>
        <v>1.8411070585500797</v>
      </c>
      <c r="O379">
        <f t="shared" si="493"/>
        <v>4.2253993131957657E-5</v>
      </c>
    </row>
    <row r="380" spans="1:19" x14ac:dyDescent="0.2">
      <c r="A380" t="e">
        <f t="shared" si="494"/>
        <v>#NUM!</v>
      </c>
      <c r="B380" t="e">
        <f t="shared" si="495"/>
        <v>#NUM!</v>
      </c>
      <c r="C380" t="e">
        <f t="shared" si="496"/>
        <v>#NUM!</v>
      </c>
      <c r="D380" t="e">
        <f t="shared" si="497"/>
        <v>#NUM!</v>
      </c>
      <c r="E380" t="e">
        <f t="shared" si="498"/>
        <v>#NUM!</v>
      </c>
      <c r="F380" t="e">
        <f t="shared" si="499"/>
        <v>#NUM!</v>
      </c>
      <c r="G380" t="e">
        <f t="shared" si="500"/>
        <v>#NUM!</v>
      </c>
      <c r="H380" s="5" t="e">
        <f t="shared" si="501"/>
        <v>#NUM!</v>
      </c>
      <c r="I380" s="5" t="e">
        <f t="shared" si="502"/>
        <v>#NUM!</v>
      </c>
      <c r="J380" s="5">
        <v>373</v>
      </c>
      <c r="N380">
        <f t="shared" si="519"/>
        <v>1.8410870583500778</v>
      </c>
      <c r="O380">
        <f t="shared" si="493"/>
        <v>-4.2253822631010962E-5</v>
      </c>
    </row>
    <row r="381" spans="1:19" x14ac:dyDescent="0.2">
      <c r="A381" t="e">
        <f t="shared" si="494"/>
        <v>#NUM!</v>
      </c>
      <c r="B381" t="e">
        <f t="shared" si="495"/>
        <v>#NUM!</v>
      </c>
      <c r="C381" t="e">
        <f t="shared" si="496"/>
        <v>#NUM!</v>
      </c>
      <c r="D381" t="e">
        <f t="shared" si="497"/>
        <v>#NUM!</v>
      </c>
      <c r="E381" t="e">
        <f t="shared" si="498"/>
        <v>#NUM!</v>
      </c>
      <c r="F381" t="e">
        <f t="shared" si="499"/>
        <v>#NUM!</v>
      </c>
      <c r="G381" t="e">
        <f t="shared" si="500"/>
        <v>#NUM!</v>
      </c>
      <c r="H381" s="5" t="e">
        <f t="shared" si="501"/>
        <v>#NUM!</v>
      </c>
      <c r="I381" s="5" t="e">
        <f t="shared" si="502"/>
        <v>#NUM!</v>
      </c>
      <c r="J381" s="5">
        <v>374</v>
      </c>
      <c r="N381" s="10">
        <f t="shared" ref="N381" si="573">Q378</f>
        <v>1.8410970584500788</v>
      </c>
      <c r="O381">
        <f t="shared" si="493"/>
        <v>0</v>
      </c>
      <c r="P381">
        <f t="shared" ref="P381:P412" si="574">(O380-O382)/(N380-N382)</f>
        <v>4.225348534256625</v>
      </c>
      <c r="Q381" s="10">
        <f t="shared" ref="Q381" si="575">N381-O381/P381</f>
        <v>1.8410970584500788</v>
      </c>
      <c r="R381">
        <v>125</v>
      </c>
      <c r="S381">
        <f t="shared" ref="S381:S412" si="576">N381</f>
        <v>1.8410970584500788</v>
      </c>
    </row>
    <row r="382" spans="1:19" x14ac:dyDescent="0.2">
      <c r="A382" t="e">
        <f t="shared" si="494"/>
        <v>#NUM!</v>
      </c>
      <c r="B382" t="e">
        <f t="shared" si="495"/>
        <v>#NUM!</v>
      </c>
      <c r="C382" t="e">
        <f t="shared" si="496"/>
        <v>#NUM!</v>
      </c>
      <c r="D382" t="e">
        <f t="shared" si="497"/>
        <v>#NUM!</v>
      </c>
      <c r="E382" t="e">
        <f t="shared" si="498"/>
        <v>#NUM!</v>
      </c>
      <c r="F382" t="e">
        <f t="shared" si="499"/>
        <v>#NUM!</v>
      </c>
      <c r="G382" t="e">
        <f t="shared" si="500"/>
        <v>#NUM!</v>
      </c>
      <c r="H382" s="5" t="e">
        <f t="shared" si="501"/>
        <v>#NUM!</v>
      </c>
      <c r="I382" s="5" t="e">
        <f t="shared" si="502"/>
        <v>#NUM!</v>
      </c>
      <c r="J382" s="5">
        <v>375</v>
      </c>
      <c r="N382">
        <f t="shared" si="524"/>
        <v>1.8411070585500797</v>
      </c>
      <c r="O382">
        <f t="shared" si="493"/>
        <v>4.2253993131957657E-5</v>
      </c>
    </row>
    <row r="383" spans="1:19" x14ac:dyDescent="0.2">
      <c r="A383" t="e">
        <f t="shared" si="494"/>
        <v>#NUM!</v>
      </c>
      <c r="B383" t="e">
        <f t="shared" si="495"/>
        <v>#NUM!</v>
      </c>
      <c r="C383" t="e">
        <f t="shared" si="496"/>
        <v>#NUM!</v>
      </c>
      <c r="D383" t="e">
        <f t="shared" si="497"/>
        <v>#NUM!</v>
      </c>
      <c r="E383" t="e">
        <f t="shared" si="498"/>
        <v>#NUM!</v>
      </c>
      <c r="F383" t="e">
        <f t="shared" si="499"/>
        <v>#NUM!</v>
      </c>
      <c r="G383" t="e">
        <f t="shared" si="500"/>
        <v>#NUM!</v>
      </c>
      <c r="H383" s="5" t="e">
        <f t="shared" si="501"/>
        <v>#NUM!</v>
      </c>
      <c r="I383" s="5" t="e">
        <f t="shared" si="502"/>
        <v>#NUM!</v>
      </c>
      <c r="J383" s="5">
        <v>376</v>
      </c>
      <c r="N383">
        <f t="shared" si="519"/>
        <v>1.8410870583500778</v>
      </c>
      <c r="O383">
        <f t="shared" si="493"/>
        <v>-4.2253822631010962E-5</v>
      </c>
    </row>
    <row r="384" spans="1:19" x14ac:dyDescent="0.2">
      <c r="A384" t="e">
        <f t="shared" si="494"/>
        <v>#NUM!</v>
      </c>
      <c r="B384" t="e">
        <f t="shared" si="495"/>
        <v>#NUM!</v>
      </c>
      <c r="C384" t="e">
        <f t="shared" si="496"/>
        <v>#NUM!</v>
      </c>
      <c r="D384" t="e">
        <f t="shared" si="497"/>
        <v>#NUM!</v>
      </c>
      <c r="E384" t="e">
        <f t="shared" si="498"/>
        <v>#NUM!</v>
      </c>
      <c r="F384" t="e">
        <f t="shared" si="499"/>
        <v>#NUM!</v>
      </c>
      <c r="G384" t="e">
        <f t="shared" si="500"/>
        <v>#NUM!</v>
      </c>
      <c r="H384" s="5" t="e">
        <f t="shared" si="501"/>
        <v>#NUM!</v>
      </c>
      <c r="I384" s="5" t="e">
        <f t="shared" si="502"/>
        <v>#NUM!</v>
      </c>
      <c r="J384" s="5">
        <v>377</v>
      </c>
      <c r="N384" s="10">
        <f t="shared" ref="N384" si="577">Q381</f>
        <v>1.8410970584500788</v>
      </c>
      <c r="O384">
        <f t="shared" si="493"/>
        <v>0</v>
      </c>
      <c r="P384">
        <f t="shared" ref="P384:P415" si="578">(O383-O385)/(N383-N385)</f>
        <v>4.225348534256625</v>
      </c>
      <c r="Q384" s="10">
        <f t="shared" ref="Q384" si="579">N384-O384/P384</f>
        <v>1.8410970584500788</v>
      </c>
      <c r="R384">
        <v>126</v>
      </c>
      <c r="S384">
        <f t="shared" ref="S384:S415" si="580">N384</f>
        <v>1.8410970584500788</v>
      </c>
    </row>
    <row r="385" spans="1:19" x14ac:dyDescent="0.2">
      <c r="A385" t="e">
        <f t="shared" si="494"/>
        <v>#NUM!</v>
      </c>
      <c r="B385" t="e">
        <f t="shared" si="495"/>
        <v>#NUM!</v>
      </c>
      <c r="C385" t="e">
        <f t="shared" si="496"/>
        <v>#NUM!</v>
      </c>
      <c r="D385" t="e">
        <f t="shared" si="497"/>
        <v>#NUM!</v>
      </c>
      <c r="E385" t="e">
        <f t="shared" si="498"/>
        <v>#NUM!</v>
      </c>
      <c r="F385" t="e">
        <f t="shared" si="499"/>
        <v>#NUM!</v>
      </c>
      <c r="G385" t="e">
        <f t="shared" si="500"/>
        <v>#NUM!</v>
      </c>
      <c r="H385" s="5" t="e">
        <f t="shared" si="501"/>
        <v>#NUM!</v>
      </c>
      <c r="I385" s="5" t="e">
        <f t="shared" si="502"/>
        <v>#NUM!</v>
      </c>
      <c r="J385" s="5">
        <v>378</v>
      </c>
      <c r="N385">
        <f t="shared" si="524"/>
        <v>1.8411070585500797</v>
      </c>
      <c r="O385">
        <f t="shared" si="493"/>
        <v>4.2253993131957657E-5</v>
      </c>
    </row>
    <row r="386" spans="1:19" x14ac:dyDescent="0.2">
      <c r="A386" t="e">
        <f t="shared" si="494"/>
        <v>#NUM!</v>
      </c>
      <c r="B386" t="e">
        <f t="shared" si="495"/>
        <v>#NUM!</v>
      </c>
      <c r="C386" t="e">
        <f t="shared" si="496"/>
        <v>#NUM!</v>
      </c>
      <c r="D386" t="e">
        <f t="shared" si="497"/>
        <v>#NUM!</v>
      </c>
      <c r="E386" t="e">
        <f t="shared" si="498"/>
        <v>#NUM!</v>
      </c>
      <c r="F386" t="e">
        <f t="shared" si="499"/>
        <v>#NUM!</v>
      </c>
      <c r="G386" t="e">
        <f t="shared" si="500"/>
        <v>#NUM!</v>
      </c>
      <c r="H386" s="5" t="e">
        <f t="shared" si="501"/>
        <v>#NUM!</v>
      </c>
      <c r="I386" s="5" t="e">
        <f t="shared" si="502"/>
        <v>#NUM!</v>
      </c>
      <c r="J386" s="5">
        <v>379</v>
      </c>
      <c r="N386">
        <f t="shared" si="519"/>
        <v>1.8410870583500778</v>
      </c>
      <c r="O386">
        <f t="shared" si="493"/>
        <v>-4.2253822631010962E-5</v>
      </c>
    </row>
    <row r="387" spans="1:19" x14ac:dyDescent="0.2">
      <c r="A387" t="e">
        <f t="shared" si="494"/>
        <v>#NUM!</v>
      </c>
      <c r="B387" t="e">
        <f t="shared" si="495"/>
        <v>#NUM!</v>
      </c>
      <c r="C387" t="e">
        <f t="shared" si="496"/>
        <v>#NUM!</v>
      </c>
      <c r="D387" t="e">
        <f t="shared" si="497"/>
        <v>#NUM!</v>
      </c>
      <c r="E387" t="e">
        <f t="shared" si="498"/>
        <v>#NUM!</v>
      </c>
      <c r="F387" t="e">
        <f t="shared" si="499"/>
        <v>#NUM!</v>
      </c>
      <c r="G387" t="e">
        <f t="shared" si="500"/>
        <v>#NUM!</v>
      </c>
      <c r="H387" s="5" t="e">
        <f t="shared" si="501"/>
        <v>#NUM!</v>
      </c>
      <c r="I387" s="5" t="e">
        <f t="shared" si="502"/>
        <v>#NUM!</v>
      </c>
      <c r="J387" s="5">
        <v>380</v>
      </c>
      <c r="N387" s="10">
        <f t="shared" ref="N387" si="581">Q384</f>
        <v>1.8410970584500788</v>
      </c>
      <c r="O387">
        <f t="shared" si="493"/>
        <v>0</v>
      </c>
      <c r="P387">
        <f t="shared" ref="P387:P418" si="582">(O386-O388)/(N386-N388)</f>
        <v>4.225348534256625</v>
      </c>
      <c r="Q387" s="10">
        <f t="shared" ref="Q387" si="583">N387-O387/P387</f>
        <v>1.8410970584500788</v>
      </c>
      <c r="R387">
        <v>127</v>
      </c>
      <c r="S387">
        <f t="shared" ref="S387:S418" si="584">N387</f>
        <v>1.8410970584500788</v>
      </c>
    </row>
    <row r="388" spans="1:19" x14ac:dyDescent="0.2">
      <c r="A388" t="e">
        <f t="shared" si="494"/>
        <v>#NUM!</v>
      </c>
      <c r="B388" t="e">
        <f t="shared" si="495"/>
        <v>#NUM!</v>
      </c>
      <c r="C388" t="e">
        <f t="shared" si="496"/>
        <v>#NUM!</v>
      </c>
      <c r="D388" t="e">
        <f t="shared" si="497"/>
        <v>#NUM!</v>
      </c>
      <c r="E388" t="e">
        <f t="shared" si="498"/>
        <v>#NUM!</v>
      </c>
      <c r="F388" t="e">
        <f t="shared" si="499"/>
        <v>#NUM!</v>
      </c>
      <c r="G388" t="e">
        <f t="shared" si="500"/>
        <v>#NUM!</v>
      </c>
      <c r="H388" s="5" t="e">
        <f t="shared" si="501"/>
        <v>#NUM!</v>
      </c>
      <c r="I388" s="5" t="e">
        <f t="shared" si="502"/>
        <v>#NUM!</v>
      </c>
      <c r="J388" s="5">
        <v>381</v>
      </c>
      <c r="N388">
        <f t="shared" si="524"/>
        <v>1.8411070585500797</v>
      </c>
      <c r="O388">
        <f t="shared" si="493"/>
        <v>4.2253993131957657E-5</v>
      </c>
    </row>
    <row r="389" spans="1:19" x14ac:dyDescent="0.2">
      <c r="A389" t="e">
        <f t="shared" si="494"/>
        <v>#NUM!</v>
      </c>
      <c r="B389" t="e">
        <f t="shared" si="495"/>
        <v>#NUM!</v>
      </c>
      <c r="C389" t="e">
        <f t="shared" si="496"/>
        <v>#NUM!</v>
      </c>
      <c r="D389" t="e">
        <f t="shared" si="497"/>
        <v>#NUM!</v>
      </c>
      <c r="E389" t="e">
        <f t="shared" si="498"/>
        <v>#NUM!</v>
      </c>
      <c r="F389" t="e">
        <f t="shared" si="499"/>
        <v>#NUM!</v>
      </c>
      <c r="G389" t="e">
        <f t="shared" si="500"/>
        <v>#NUM!</v>
      </c>
      <c r="H389" s="5" t="e">
        <f t="shared" si="501"/>
        <v>#NUM!</v>
      </c>
      <c r="I389" s="5" t="e">
        <f t="shared" si="502"/>
        <v>#NUM!</v>
      </c>
      <c r="J389" s="5">
        <v>382</v>
      </c>
      <c r="N389">
        <f t="shared" si="519"/>
        <v>1.8410870583500778</v>
      </c>
      <c r="O389">
        <f t="shared" si="493"/>
        <v>-4.2253822631010962E-5</v>
      </c>
    </row>
    <row r="390" spans="1:19" x14ac:dyDescent="0.2">
      <c r="A390" t="e">
        <f t="shared" si="494"/>
        <v>#NUM!</v>
      </c>
      <c r="B390" t="e">
        <f t="shared" si="495"/>
        <v>#NUM!</v>
      </c>
      <c r="C390" t="e">
        <f t="shared" si="496"/>
        <v>#NUM!</v>
      </c>
      <c r="D390" t="e">
        <f t="shared" si="497"/>
        <v>#NUM!</v>
      </c>
      <c r="E390" t="e">
        <f t="shared" si="498"/>
        <v>#NUM!</v>
      </c>
      <c r="F390" t="e">
        <f t="shared" si="499"/>
        <v>#NUM!</v>
      </c>
      <c r="G390" t="e">
        <f t="shared" si="500"/>
        <v>#NUM!</v>
      </c>
      <c r="H390" s="5" t="e">
        <f t="shared" si="501"/>
        <v>#NUM!</v>
      </c>
      <c r="I390" s="5" t="e">
        <f t="shared" si="502"/>
        <v>#NUM!</v>
      </c>
      <c r="J390" s="5">
        <v>383</v>
      </c>
      <c r="N390" s="10">
        <f t="shared" ref="N390" si="585">Q387</f>
        <v>1.8410970584500788</v>
      </c>
      <c r="O390">
        <f t="shared" si="493"/>
        <v>0</v>
      </c>
      <c r="P390">
        <f t="shared" ref="P390:P421" si="586">(O389-O391)/(N389-N391)</f>
        <v>4.225348534256625</v>
      </c>
      <c r="Q390" s="10">
        <f t="shared" ref="Q390" si="587">N390-O390/P390</f>
        <v>1.8410970584500788</v>
      </c>
      <c r="R390">
        <v>128</v>
      </c>
      <c r="S390">
        <f t="shared" ref="S390:S421" si="588">N390</f>
        <v>1.8410970584500788</v>
      </c>
    </row>
    <row r="391" spans="1:19" x14ac:dyDescent="0.2">
      <c r="A391" t="e">
        <f t="shared" si="494"/>
        <v>#NUM!</v>
      </c>
      <c r="B391" t="e">
        <f t="shared" si="495"/>
        <v>#NUM!</v>
      </c>
      <c r="C391" t="e">
        <f t="shared" si="496"/>
        <v>#NUM!</v>
      </c>
      <c r="D391" t="e">
        <f t="shared" si="497"/>
        <v>#NUM!</v>
      </c>
      <c r="E391" t="e">
        <f t="shared" si="498"/>
        <v>#NUM!</v>
      </c>
      <c r="F391" t="e">
        <f t="shared" si="499"/>
        <v>#NUM!</v>
      </c>
      <c r="G391" t="e">
        <f t="shared" si="500"/>
        <v>#NUM!</v>
      </c>
      <c r="H391" s="5" t="e">
        <f t="shared" si="501"/>
        <v>#NUM!</v>
      </c>
      <c r="I391" s="5" t="e">
        <f t="shared" si="502"/>
        <v>#NUM!</v>
      </c>
      <c r="J391" s="5">
        <v>384</v>
      </c>
      <c r="N391">
        <f t="shared" si="524"/>
        <v>1.8411070585500797</v>
      </c>
      <c r="O391">
        <f t="shared" si="493"/>
        <v>4.2253993131957657E-5</v>
      </c>
    </row>
    <row r="392" spans="1:19" x14ac:dyDescent="0.2">
      <c r="A392" t="e">
        <f t="shared" si="494"/>
        <v>#NUM!</v>
      </c>
      <c r="B392" t="e">
        <f t="shared" si="495"/>
        <v>#NUM!</v>
      </c>
      <c r="C392" t="e">
        <f t="shared" si="496"/>
        <v>#NUM!</v>
      </c>
      <c r="D392" t="e">
        <f t="shared" si="497"/>
        <v>#NUM!</v>
      </c>
      <c r="E392" t="e">
        <f t="shared" si="498"/>
        <v>#NUM!</v>
      </c>
      <c r="F392" t="e">
        <f t="shared" si="499"/>
        <v>#NUM!</v>
      </c>
      <c r="G392" t="e">
        <f t="shared" si="500"/>
        <v>#NUM!</v>
      </c>
      <c r="H392" s="5" t="e">
        <f t="shared" si="501"/>
        <v>#NUM!</v>
      </c>
      <c r="I392" s="5" t="e">
        <f t="shared" si="502"/>
        <v>#NUM!</v>
      </c>
      <c r="J392" s="5">
        <v>385</v>
      </c>
      <c r="N392">
        <f t="shared" si="519"/>
        <v>1.8410870583500778</v>
      </c>
      <c r="O392">
        <f t="shared" ref="O392:O455" si="589">N392*N392+LN(N392)-4</f>
        <v>-4.2253822631010962E-5</v>
      </c>
    </row>
    <row r="393" spans="1:19" x14ac:dyDescent="0.2">
      <c r="A393" t="e">
        <f t="shared" si="494"/>
        <v>#NUM!</v>
      </c>
      <c r="B393" t="e">
        <f t="shared" si="495"/>
        <v>#NUM!</v>
      </c>
      <c r="C393" t="e">
        <f t="shared" si="496"/>
        <v>#NUM!</v>
      </c>
      <c r="D393" t="e">
        <f t="shared" si="497"/>
        <v>#NUM!</v>
      </c>
      <c r="E393" t="e">
        <f t="shared" si="498"/>
        <v>#NUM!</v>
      </c>
      <c r="F393" t="e">
        <f t="shared" si="499"/>
        <v>#NUM!</v>
      </c>
      <c r="G393" t="e">
        <f t="shared" si="500"/>
        <v>#NUM!</v>
      </c>
      <c r="H393" s="5" t="e">
        <f t="shared" si="501"/>
        <v>#NUM!</v>
      </c>
      <c r="I393" s="5" t="e">
        <f t="shared" si="502"/>
        <v>#NUM!</v>
      </c>
      <c r="J393" s="5">
        <v>386</v>
      </c>
      <c r="N393" s="10">
        <f t="shared" ref="N393" si="590">Q390</f>
        <v>1.8410970584500788</v>
      </c>
      <c r="O393">
        <f t="shared" si="589"/>
        <v>0</v>
      </c>
      <c r="P393">
        <f t="shared" ref="P393:P424" si="591">(O392-O394)/(N392-N394)</f>
        <v>4.225348534256625</v>
      </c>
      <c r="Q393" s="10">
        <f t="shared" ref="Q393" si="592">N393-O393/P393</f>
        <v>1.8410970584500788</v>
      </c>
      <c r="R393">
        <v>129</v>
      </c>
      <c r="S393">
        <f t="shared" ref="S393:S424" si="593">N393</f>
        <v>1.8410970584500788</v>
      </c>
    </row>
    <row r="394" spans="1:19" x14ac:dyDescent="0.2">
      <c r="A394" t="e">
        <f t="shared" ref="A394:A457" si="594">IF(B393*F393&lt;0, MIN(A393,E393), IF(D393*F393&lt;0, MIN(C393,E393)))</f>
        <v>#NUM!</v>
      </c>
      <c r="B394" t="e">
        <f t="shared" ref="B394:B457" si="595">A394*A394+LN(A394)-4</f>
        <v>#NUM!</v>
      </c>
      <c r="C394" t="e">
        <f t="shared" ref="C394:C457" si="596">IF(B393*F393&lt;0, MAX(A393,E393), IF(D393*F393&lt;0, MAX(C393,E393)))</f>
        <v>#NUM!</v>
      </c>
      <c r="D394" t="e">
        <f t="shared" ref="D394:D457" si="597">C394*C394+LN(C394)-4</f>
        <v>#NUM!</v>
      </c>
      <c r="E394" t="e">
        <f t="shared" ref="E394:E457" si="598">(A394+C394)/2</f>
        <v>#NUM!</v>
      </c>
      <c r="F394" t="e">
        <f t="shared" ref="F394:F457" si="599">E394*E394+LN(E394)-4</f>
        <v>#NUM!</v>
      </c>
      <c r="G394" t="e">
        <f t="shared" ref="G394:G457" si="600">ABS(A394-C394)</f>
        <v>#NUM!</v>
      </c>
      <c r="H394" s="5" t="e">
        <f t="shared" ref="H394:H457" si="601">IF(A394=FALSE(), 999, F394)</f>
        <v>#NUM!</v>
      </c>
      <c r="I394" s="5" t="e">
        <f t="shared" ref="I394:I457" si="602">E394</f>
        <v>#NUM!</v>
      </c>
      <c r="J394" s="5">
        <v>387</v>
      </c>
      <c r="N394">
        <f t="shared" si="524"/>
        <v>1.8411070585500797</v>
      </c>
      <c r="O394">
        <f t="shared" si="589"/>
        <v>4.2253993131957657E-5</v>
      </c>
    </row>
    <row r="395" spans="1:19" x14ac:dyDescent="0.2">
      <c r="A395" t="e">
        <f t="shared" si="594"/>
        <v>#NUM!</v>
      </c>
      <c r="B395" t="e">
        <f t="shared" si="595"/>
        <v>#NUM!</v>
      </c>
      <c r="C395" t="e">
        <f t="shared" si="596"/>
        <v>#NUM!</v>
      </c>
      <c r="D395" t="e">
        <f t="shared" si="597"/>
        <v>#NUM!</v>
      </c>
      <c r="E395" t="e">
        <f t="shared" si="598"/>
        <v>#NUM!</v>
      </c>
      <c r="F395" t="e">
        <f t="shared" si="599"/>
        <v>#NUM!</v>
      </c>
      <c r="G395" t="e">
        <f t="shared" si="600"/>
        <v>#NUM!</v>
      </c>
      <c r="H395" s="5" t="e">
        <f t="shared" si="601"/>
        <v>#NUM!</v>
      </c>
      <c r="I395" s="5" t="e">
        <f t="shared" si="602"/>
        <v>#NUM!</v>
      </c>
      <c r="J395" s="5">
        <v>388</v>
      </c>
      <c r="N395">
        <f t="shared" si="519"/>
        <v>1.8410870583500778</v>
      </c>
      <c r="O395">
        <f t="shared" si="589"/>
        <v>-4.2253822631010962E-5</v>
      </c>
    </row>
    <row r="396" spans="1:19" x14ac:dyDescent="0.2">
      <c r="A396" t="e">
        <f t="shared" si="594"/>
        <v>#NUM!</v>
      </c>
      <c r="B396" t="e">
        <f t="shared" si="595"/>
        <v>#NUM!</v>
      </c>
      <c r="C396" t="e">
        <f t="shared" si="596"/>
        <v>#NUM!</v>
      </c>
      <c r="D396" t="e">
        <f t="shared" si="597"/>
        <v>#NUM!</v>
      </c>
      <c r="E396" t="e">
        <f t="shared" si="598"/>
        <v>#NUM!</v>
      </c>
      <c r="F396" t="e">
        <f t="shared" si="599"/>
        <v>#NUM!</v>
      </c>
      <c r="G396" t="e">
        <f t="shared" si="600"/>
        <v>#NUM!</v>
      </c>
      <c r="H396" s="5" t="e">
        <f t="shared" si="601"/>
        <v>#NUM!</v>
      </c>
      <c r="I396" s="5" t="e">
        <f t="shared" si="602"/>
        <v>#NUM!</v>
      </c>
      <c r="J396" s="5">
        <v>389</v>
      </c>
      <c r="N396" s="10">
        <f t="shared" ref="N396" si="603">Q393</f>
        <v>1.8410970584500788</v>
      </c>
      <c r="O396">
        <f t="shared" si="589"/>
        <v>0</v>
      </c>
      <c r="P396">
        <f t="shared" ref="P396:P427" si="604">(O395-O397)/(N395-N397)</f>
        <v>4.225348534256625</v>
      </c>
      <c r="Q396" s="10">
        <f t="shared" ref="Q396" si="605">N396-O396/P396</f>
        <v>1.8410970584500788</v>
      </c>
      <c r="R396">
        <v>130</v>
      </c>
      <c r="S396">
        <f t="shared" ref="S396:S427" si="606">N396</f>
        <v>1.8410970584500788</v>
      </c>
    </row>
    <row r="397" spans="1:19" x14ac:dyDescent="0.2">
      <c r="A397" t="e">
        <f t="shared" si="594"/>
        <v>#NUM!</v>
      </c>
      <c r="B397" t="e">
        <f t="shared" si="595"/>
        <v>#NUM!</v>
      </c>
      <c r="C397" t="e">
        <f t="shared" si="596"/>
        <v>#NUM!</v>
      </c>
      <c r="D397" t="e">
        <f t="shared" si="597"/>
        <v>#NUM!</v>
      </c>
      <c r="E397" t="e">
        <f t="shared" si="598"/>
        <v>#NUM!</v>
      </c>
      <c r="F397" t="e">
        <f t="shared" si="599"/>
        <v>#NUM!</v>
      </c>
      <c r="G397" t="e">
        <f t="shared" si="600"/>
        <v>#NUM!</v>
      </c>
      <c r="H397" s="5" t="e">
        <f t="shared" si="601"/>
        <v>#NUM!</v>
      </c>
      <c r="I397" s="5" t="e">
        <f t="shared" si="602"/>
        <v>#NUM!</v>
      </c>
      <c r="J397" s="5">
        <v>390</v>
      </c>
      <c r="N397">
        <f t="shared" si="524"/>
        <v>1.8411070585500797</v>
      </c>
      <c r="O397">
        <f t="shared" si="589"/>
        <v>4.2253993131957657E-5</v>
      </c>
    </row>
    <row r="398" spans="1:19" x14ac:dyDescent="0.2">
      <c r="A398" t="e">
        <f t="shared" si="594"/>
        <v>#NUM!</v>
      </c>
      <c r="B398" t="e">
        <f t="shared" si="595"/>
        <v>#NUM!</v>
      </c>
      <c r="C398" t="e">
        <f t="shared" si="596"/>
        <v>#NUM!</v>
      </c>
      <c r="D398" t="e">
        <f t="shared" si="597"/>
        <v>#NUM!</v>
      </c>
      <c r="E398" t="e">
        <f t="shared" si="598"/>
        <v>#NUM!</v>
      </c>
      <c r="F398" t="e">
        <f t="shared" si="599"/>
        <v>#NUM!</v>
      </c>
      <c r="G398" t="e">
        <f t="shared" si="600"/>
        <v>#NUM!</v>
      </c>
      <c r="H398" s="5" t="e">
        <f t="shared" si="601"/>
        <v>#NUM!</v>
      </c>
      <c r="I398" s="5" t="e">
        <f t="shared" si="602"/>
        <v>#NUM!</v>
      </c>
      <c r="J398" s="5">
        <v>391</v>
      </c>
      <c r="N398">
        <f t="shared" si="519"/>
        <v>1.8410870583500778</v>
      </c>
      <c r="O398">
        <f t="shared" si="589"/>
        <v>-4.2253822631010962E-5</v>
      </c>
    </row>
    <row r="399" spans="1:19" x14ac:dyDescent="0.2">
      <c r="A399" t="e">
        <f t="shared" si="594"/>
        <v>#NUM!</v>
      </c>
      <c r="B399" t="e">
        <f t="shared" si="595"/>
        <v>#NUM!</v>
      </c>
      <c r="C399" t="e">
        <f t="shared" si="596"/>
        <v>#NUM!</v>
      </c>
      <c r="D399" t="e">
        <f t="shared" si="597"/>
        <v>#NUM!</v>
      </c>
      <c r="E399" t="e">
        <f t="shared" si="598"/>
        <v>#NUM!</v>
      </c>
      <c r="F399" t="e">
        <f t="shared" si="599"/>
        <v>#NUM!</v>
      </c>
      <c r="G399" t="e">
        <f t="shared" si="600"/>
        <v>#NUM!</v>
      </c>
      <c r="H399" s="5" t="e">
        <f t="shared" si="601"/>
        <v>#NUM!</v>
      </c>
      <c r="I399" s="5" t="e">
        <f t="shared" si="602"/>
        <v>#NUM!</v>
      </c>
      <c r="J399" s="5">
        <v>392</v>
      </c>
      <c r="N399" s="10">
        <f t="shared" ref="N399" si="607">Q396</f>
        <v>1.8410970584500788</v>
      </c>
      <c r="O399">
        <f t="shared" si="589"/>
        <v>0</v>
      </c>
      <c r="P399">
        <f t="shared" ref="P399:P430" si="608">(O398-O400)/(N398-N400)</f>
        <v>4.225348534256625</v>
      </c>
      <c r="Q399" s="10">
        <f t="shared" ref="Q399" si="609">N399-O399/P399</f>
        <v>1.8410970584500788</v>
      </c>
      <c r="R399">
        <v>131</v>
      </c>
      <c r="S399">
        <f t="shared" ref="S399:S430" si="610">N399</f>
        <v>1.8410970584500788</v>
      </c>
    </row>
    <row r="400" spans="1:19" x14ac:dyDescent="0.2">
      <c r="A400" t="e">
        <f t="shared" si="594"/>
        <v>#NUM!</v>
      </c>
      <c r="B400" t="e">
        <f t="shared" si="595"/>
        <v>#NUM!</v>
      </c>
      <c r="C400" t="e">
        <f t="shared" si="596"/>
        <v>#NUM!</v>
      </c>
      <c r="D400" t="e">
        <f t="shared" si="597"/>
        <v>#NUM!</v>
      </c>
      <c r="E400" t="e">
        <f t="shared" si="598"/>
        <v>#NUM!</v>
      </c>
      <c r="F400" t="e">
        <f t="shared" si="599"/>
        <v>#NUM!</v>
      </c>
      <c r="G400" t="e">
        <f t="shared" si="600"/>
        <v>#NUM!</v>
      </c>
      <c r="H400" s="5" t="e">
        <f t="shared" si="601"/>
        <v>#NUM!</v>
      </c>
      <c r="I400" s="5" t="e">
        <f t="shared" si="602"/>
        <v>#NUM!</v>
      </c>
      <c r="J400" s="5">
        <v>393</v>
      </c>
      <c r="N400">
        <f t="shared" si="524"/>
        <v>1.8411070585500797</v>
      </c>
      <c r="O400">
        <f t="shared" si="589"/>
        <v>4.2253993131957657E-5</v>
      </c>
    </row>
    <row r="401" spans="1:19" x14ac:dyDescent="0.2">
      <c r="A401" t="e">
        <f t="shared" si="594"/>
        <v>#NUM!</v>
      </c>
      <c r="B401" t="e">
        <f t="shared" si="595"/>
        <v>#NUM!</v>
      </c>
      <c r="C401" t="e">
        <f t="shared" si="596"/>
        <v>#NUM!</v>
      </c>
      <c r="D401" t="e">
        <f t="shared" si="597"/>
        <v>#NUM!</v>
      </c>
      <c r="E401" t="e">
        <f t="shared" si="598"/>
        <v>#NUM!</v>
      </c>
      <c r="F401" t="e">
        <f t="shared" si="599"/>
        <v>#NUM!</v>
      </c>
      <c r="G401" t="e">
        <f t="shared" si="600"/>
        <v>#NUM!</v>
      </c>
      <c r="H401" s="5" t="e">
        <f t="shared" si="601"/>
        <v>#NUM!</v>
      </c>
      <c r="I401" s="5" t="e">
        <f t="shared" si="602"/>
        <v>#NUM!</v>
      </c>
      <c r="J401" s="5">
        <v>394</v>
      </c>
      <c r="N401">
        <f t="shared" si="519"/>
        <v>1.8410870583500778</v>
      </c>
      <c r="O401">
        <f t="shared" si="589"/>
        <v>-4.2253822631010962E-5</v>
      </c>
    </row>
    <row r="402" spans="1:19" x14ac:dyDescent="0.2">
      <c r="A402" t="e">
        <f t="shared" si="594"/>
        <v>#NUM!</v>
      </c>
      <c r="B402" t="e">
        <f t="shared" si="595"/>
        <v>#NUM!</v>
      </c>
      <c r="C402" t="e">
        <f t="shared" si="596"/>
        <v>#NUM!</v>
      </c>
      <c r="D402" t="e">
        <f t="shared" si="597"/>
        <v>#NUM!</v>
      </c>
      <c r="E402" t="e">
        <f t="shared" si="598"/>
        <v>#NUM!</v>
      </c>
      <c r="F402" t="e">
        <f t="shared" si="599"/>
        <v>#NUM!</v>
      </c>
      <c r="G402" t="e">
        <f t="shared" si="600"/>
        <v>#NUM!</v>
      </c>
      <c r="H402" s="5" t="e">
        <f t="shared" si="601"/>
        <v>#NUM!</v>
      </c>
      <c r="I402" s="5" t="e">
        <f t="shared" si="602"/>
        <v>#NUM!</v>
      </c>
      <c r="J402" s="5">
        <v>395</v>
      </c>
      <c r="N402" s="10">
        <f t="shared" ref="N402" si="611">Q399</f>
        <v>1.8410970584500788</v>
      </c>
      <c r="O402">
        <f t="shared" si="589"/>
        <v>0</v>
      </c>
      <c r="P402">
        <f t="shared" ref="P402:P433" si="612">(O401-O403)/(N401-N403)</f>
        <v>4.225348534256625</v>
      </c>
      <c r="Q402" s="10">
        <f t="shared" ref="Q402" si="613">N402-O402/P402</f>
        <v>1.8410970584500788</v>
      </c>
      <c r="R402">
        <v>132</v>
      </c>
      <c r="S402">
        <f t="shared" ref="S402:S433" si="614">N402</f>
        <v>1.8410970584500788</v>
      </c>
    </row>
    <row r="403" spans="1:19" x14ac:dyDescent="0.2">
      <c r="A403" t="e">
        <f t="shared" si="594"/>
        <v>#NUM!</v>
      </c>
      <c r="B403" t="e">
        <f t="shared" si="595"/>
        <v>#NUM!</v>
      </c>
      <c r="C403" t="e">
        <f t="shared" si="596"/>
        <v>#NUM!</v>
      </c>
      <c r="D403" t="e">
        <f t="shared" si="597"/>
        <v>#NUM!</v>
      </c>
      <c r="E403" t="e">
        <f t="shared" si="598"/>
        <v>#NUM!</v>
      </c>
      <c r="F403" t="e">
        <f t="shared" si="599"/>
        <v>#NUM!</v>
      </c>
      <c r="G403" t="e">
        <f t="shared" si="600"/>
        <v>#NUM!</v>
      </c>
      <c r="H403" s="5" t="e">
        <f t="shared" si="601"/>
        <v>#NUM!</v>
      </c>
      <c r="I403" s="5" t="e">
        <f t="shared" si="602"/>
        <v>#NUM!</v>
      </c>
      <c r="J403" s="5">
        <v>396</v>
      </c>
      <c r="N403">
        <f t="shared" si="524"/>
        <v>1.8411070585500797</v>
      </c>
      <c r="O403">
        <f t="shared" si="589"/>
        <v>4.2253993131957657E-5</v>
      </c>
    </row>
    <row r="404" spans="1:19" x14ac:dyDescent="0.2">
      <c r="A404" t="e">
        <f t="shared" si="594"/>
        <v>#NUM!</v>
      </c>
      <c r="B404" t="e">
        <f t="shared" si="595"/>
        <v>#NUM!</v>
      </c>
      <c r="C404" t="e">
        <f t="shared" si="596"/>
        <v>#NUM!</v>
      </c>
      <c r="D404" t="e">
        <f t="shared" si="597"/>
        <v>#NUM!</v>
      </c>
      <c r="E404" t="e">
        <f t="shared" si="598"/>
        <v>#NUM!</v>
      </c>
      <c r="F404" t="e">
        <f t="shared" si="599"/>
        <v>#NUM!</v>
      </c>
      <c r="G404" t="e">
        <f t="shared" si="600"/>
        <v>#NUM!</v>
      </c>
      <c r="H404" s="5" t="e">
        <f t="shared" si="601"/>
        <v>#NUM!</v>
      </c>
      <c r="I404" s="5" t="e">
        <f t="shared" si="602"/>
        <v>#NUM!</v>
      </c>
      <c r="J404" s="5">
        <v>397</v>
      </c>
      <c r="N404">
        <f t="shared" si="519"/>
        <v>1.8410870583500778</v>
      </c>
      <c r="O404">
        <f t="shared" si="589"/>
        <v>-4.2253822631010962E-5</v>
      </c>
    </row>
    <row r="405" spans="1:19" x14ac:dyDescent="0.2">
      <c r="A405" t="e">
        <f t="shared" si="594"/>
        <v>#NUM!</v>
      </c>
      <c r="B405" t="e">
        <f t="shared" si="595"/>
        <v>#NUM!</v>
      </c>
      <c r="C405" t="e">
        <f t="shared" si="596"/>
        <v>#NUM!</v>
      </c>
      <c r="D405" t="e">
        <f t="shared" si="597"/>
        <v>#NUM!</v>
      </c>
      <c r="E405" t="e">
        <f t="shared" si="598"/>
        <v>#NUM!</v>
      </c>
      <c r="F405" t="e">
        <f t="shared" si="599"/>
        <v>#NUM!</v>
      </c>
      <c r="G405" t="e">
        <f t="shared" si="600"/>
        <v>#NUM!</v>
      </c>
      <c r="H405" s="5" t="e">
        <f t="shared" si="601"/>
        <v>#NUM!</v>
      </c>
      <c r="I405" s="5" t="e">
        <f t="shared" si="602"/>
        <v>#NUM!</v>
      </c>
      <c r="J405" s="5">
        <v>398</v>
      </c>
      <c r="N405" s="10">
        <f t="shared" ref="N405" si="615">Q402</f>
        <v>1.8410970584500788</v>
      </c>
      <c r="O405">
        <f t="shared" si="589"/>
        <v>0</v>
      </c>
      <c r="P405">
        <f t="shared" ref="P405:P436" si="616">(O404-O406)/(N404-N406)</f>
        <v>4.225348534256625</v>
      </c>
      <c r="Q405" s="10">
        <f t="shared" ref="Q405" si="617">N405-O405/P405</f>
        <v>1.8410970584500788</v>
      </c>
      <c r="R405">
        <v>133</v>
      </c>
      <c r="S405">
        <f t="shared" ref="S405:S436" si="618">N405</f>
        <v>1.8410970584500788</v>
      </c>
    </row>
    <row r="406" spans="1:19" x14ac:dyDescent="0.2">
      <c r="A406" t="e">
        <f t="shared" si="594"/>
        <v>#NUM!</v>
      </c>
      <c r="B406" t="e">
        <f t="shared" si="595"/>
        <v>#NUM!</v>
      </c>
      <c r="C406" t="e">
        <f t="shared" si="596"/>
        <v>#NUM!</v>
      </c>
      <c r="D406" t="e">
        <f t="shared" si="597"/>
        <v>#NUM!</v>
      </c>
      <c r="E406" t="e">
        <f t="shared" si="598"/>
        <v>#NUM!</v>
      </c>
      <c r="F406" t="e">
        <f t="shared" si="599"/>
        <v>#NUM!</v>
      </c>
      <c r="G406" t="e">
        <f t="shared" si="600"/>
        <v>#NUM!</v>
      </c>
      <c r="H406" s="5" t="e">
        <f t="shared" si="601"/>
        <v>#NUM!</v>
      </c>
      <c r="I406" s="5" t="e">
        <f t="shared" si="602"/>
        <v>#NUM!</v>
      </c>
      <c r="J406" s="5">
        <v>399</v>
      </c>
      <c r="N406">
        <f t="shared" si="524"/>
        <v>1.8411070585500797</v>
      </c>
      <c r="O406">
        <f t="shared" si="589"/>
        <v>4.2253993131957657E-5</v>
      </c>
    </row>
    <row r="407" spans="1:19" x14ac:dyDescent="0.2">
      <c r="A407" t="e">
        <f t="shared" si="594"/>
        <v>#NUM!</v>
      </c>
      <c r="B407" t="e">
        <f t="shared" si="595"/>
        <v>#NUM!</v>
      </c>
      <c r="C407" t="e">
        <f t="shared" si="596"/>
        <v>#NUM!</v>
      </c>
      <c r="D407" t="e">
        <f t="shared" si="597"/>
        <v>#NUM!</v>
      </c>
      <c r="E407" t="e">
        <f t="shared" si="598"/>
        <v>#NUM!</v>
      </c>
      <c r="F407" t="e">
        <f t="shared" si="599"/>
        <v>#NUM!</v>
      </c>
      <c r="G407" t="e">
        <f t="shared" si="600"/>
        <v>#NUM!</v>
      </c>
      <c r="H407" s="5" t="e">
        <f t="shared" si="601"/>
        <v>#NUM!</v>
      </c>
      <c r="I407" s="5" t="e">
        <f t="shared" si="602"/>
        <v>#NUM!</v>
      </c>
      <c r="J407" s="5">
        <v>400</v>
      </c>
      <c r="N407">
        <f t="shared" ref="N407:N470" si="619">N408-1/99999</f>
        <v>1.8410870583500778</v>
      </c>
      <c r="O407">
        <f t="shared" si="589"/>
        <v>-4.2253822631010962E-5</v>
      </c>
    </row>
    <row r="408" spans="1:19" x14ac:dyDescent="0.2">
      <c r="A408" t="e">
        <f t="shared" si="594"/>
        <v>#NUM!</v>
      </c>
      <c r="B408" t="e">
        <f t="shared" si="595"/>
        <v>#NUM!</v>
      </c>
      <c r="C408" t="e">
        <f t="shared" si="596"/>
        <v>#NUM!</v>
      </c>
      <c r="D408" t="e">
        <f t="shared" si="597"/>
        <v>#NUM!</v>
      </c>
      <c r="E408" t="e">
        <f t="shared" si="598"/>
        <v>#NUM!</v>
      </c>
      <c r="F408" t="e">
        <f t="shared" si="599"/>
        <v>#NUM!</v>
      </c>
      <c r="G408" t="e">
        <f t="shared" si="600"/>
        <v>#NUM!</v>
      </c>
      <c r="H408" s="5" t="e">
        <f t="shared" si="601"/>
        <v>#NUM!</v>
      </c>
      <c r="I408" s="5" t="e">
        <f t="shared" si="602"/>
        <v>#NUM!</v>
      </c>
      <c r="J408" s="5">
        <v>401</v>
      </c>
      <c r="N408" s="10">
        <f t="shared" ref="N408" si="620">Q405</f>
        <v>1.8410970584500788</v>
      </c>
      <c r="O408">
        <f t="shared" si="589"/>
        <v>0</v>
      </c>
      <c r="P408">
        <f t="shared" ref="P408:P439" si="621">(O407-O409)/(N407-N409)</f>
        <v>4.225348534256625</v>
      </c>
      <c r="Q408" s="10">
        <f t="shared" ref="Q408" si="622">N408-O408/P408</f>
        <v>1.8410970584500788</v>
      </c>
      <c r="R408">
        <v>134</v>
      </c>
      <c r="S408">
        <f t="shared" ref="S408:S439" si="623">N408</f>
        <v>1.8410970584500788</v>
      </c>
    </row>
    <row r="409" spans="1:19" x14ac:dyDescent="0.2">
      <c r="A409" t="e">
        <f t="shared" si="594"/>
        <v>#NUM!</v>
      </c>
      <c r="B409" t="e">
        <f t="shared" si="595"/>
        <v>#NUM!</v>
      </c>
      <c r="C409" t="e">
        <f t="shared" si="596"/>
        <v>#NUM!</v>
      </c>
      <c r="D409" t="e">
        <f t="shared" si="597"/>
        <v>#NUM!</v>
      </c>
      <c r="E409" t="e">
        <f t="shared" si="598"/>
        <v>#NUM!</v>
      </c>
      <c r="F409" t="e">
        <f t="shared" si="599"/>
        <v>#NUM!</v>
      </c>
      <c r="G409" t="e">
        <f t="shared" si="600"/>
        <v>#NUM!</v>
      </c>
      <c r="H409" s="5" t="e">
        <f t="shared" si="601"/>
        <v>#NUM!</v>
      </c>
      <c r="I409" s="5" t="e">
        <f t="shared" si="602"/>
        <v>#NUM!</v>
      </c>
      <c r="J409" s="5">
        <v>402</v>
      </c>
      <c r="N409">
        <f t="shared" ref="N409:N472" si="624">N408+1/99999</f>
        <v>1.8411070585500797</v>
      </c>
      <c r="O409">
        <f t="shared" si="589"/>
        <v>4.2253993131957657E-5</v>
      </c>
    </row>
    <row r="410" spans="1:19" x14ac:dyDescent="0.2">
      <c r="A410" t="e">
        <f t="shared" si="594"/>
        <v>#NUM!</v>
      </c>
      <c r="B410" t="e">
        <f t="shared" si="595"/>
        <v>#NUM!</v>
      </c>
      <c r="C410" t="e">
        <f t="shared" si="596"/>
        <v>#NUM!</v>
      </c>
      <c r="D410" t="e">
        <f t="shared" si="597"/>
        <v>#NUM!</v>
      </c>
      <c r="E410" t="e">
        <f t="shared" si="598"/>
        <v>#NUM!</v>
      </c>
      <c r="F410" t="e">
        <f t="shared" si="599"/>
        <v>#NUM!</v>
      </c>
      <c r="G410" t="e">
        <f t="shared" si="600"/>
        <v>#NUM!</v>
      </c>
      <c r="H410" s="5" t="e">
        <f t="shared" si="601"/>
        <v>#NUM!</v>
      </c>
      <c r="I410" s="5" t="e">
        <f t="shared" si="602"/>
        <v>#NUM!</v>
      </c>
      <c r="J410" s="5">
        <v>403</v>
      </c>
      <c r="N410">
        <f t="shared" si="619"/>
        <v>1.8410870583500778</v>
      </c>
      <c r="O410">
        <f t="shared" si="589"/>
        <v>-4.2253822631010962E-5</v>
      </c>
    </row>
    <row r="411" spans="1:19" x14ac:dyDescent="0.2">
      <c r="A411" t="e">
        <f t="shared" si="594"/>
        <v>#NUM!</v>
      </c>
      <c r="B411" t="e">
        <f t="shared" si="595"/>
        <v>#NUM!</v>
      </c>
      <c r="C411" t="e">
        <f t="shared" si="596"/>
        <v>#NUM!</v>
      </c>
      <c r="D411" t="e">
        <f t="shared" si="597"/>
        <v>#NUM!</v>
      </c>
      <c r="E411" t="e">
        <f t="shared" si="598"/>
        <v>#NUM!</v>
      </c>
      <c r="F411" t="e">
        <f t="shared" si="599"/>
        <v>#NUM!</v>
      </c>
      <c r="G411" t="e">
        <f t="shared" si="600"/>
        <v>#NUM!</v>
      </c>
      <c r="H411" s="5" t="e">
        <f t="shared" si="601"/>
        <v>#NUM!</v>
      </c>
      <c r="I411" s="5" t="e">
        <f t="shared" si="602"/>
        <v>#NUM!</v>
      </c>
      <c r="J411" s="5">
        <v>404</v>
      </c>
      <c r="N411" s="10">
        <f t="shared" ref="N411" si="625">Q408</f>
        <v>1.8410970584500788</v>
      </c>
      <c r="O411">
        <f t="shared" si="589"/>
        <v>0</v>
      </c>
      <c r="P411">
        <f t="shared" ref="P411:P442" si="626">(O410-O412)/(N410-N412)</f>
        <v>4.225348534256625</v>
      </c>
      <c r="Q411" s="10">
        <f t="shared" ref="Q411" si="627">N411-O411/P411</f>
        <v>1.8410970584500788</v>
      </c>
      <c r="R411">
        <v>135</v>
      </c>
      <c r="S411">
        <f t="shared" ref="S411:S442" si="628">N411</f>
        <v>1.8410970584500788</v>
      </c>
    </row>
    <row r="412" spans="1:19" x14ac:dyDescent="0.2">
      <c r="A412" t="e">
        <f t="shared" si="594"/>
        <v>#NUM!</v>
      </c>
      <c r="B412" t="e">
        <f t="shared" si="595"/>
        <v>#NUM!</v>
      </c>
      <c r="C412" t="e">
        <f t="shared" si="596"/>
        <v>#NUM!</v>
      </c>
      <c r="D412" t="e">
        <f t="shared" si="597"/>
        <v>#NUM!</v>
      </c>
      <c r="E412" t="e">
        <f t="shared" si="598"/>
        <v>#NUM!</v>
      </c>
      <c r="F412" t="e">
        <f t="shared" si="599"/>
        <v>#NUM!</v>
      </c>
      <c r="G412" t="e">
        <f t="shared" si="600"/>
        <v>#NUM!</v>
      </c>
      <c r="H412" s="5" t="e">
        <f t="shared" si="601"/>
        <v>#NUM!</v>
      </c>
      <c r="I412" s="5" t="e">
        <f t="shared" si="602"/>
        <v>#NUM!</v>
      </c>
      <c r="J412" s="5">
        <v>405</v>
      </c>
      <c r="N412">
        <f t="shared" si="624"/>
        <v>1.8411070585500797</v>
      </c>
      <c r="O412">
        <f t="shared" si="589"/>
        <v>4.2253993131957657E-5</v>
      </c>
    </row>
    <row r="413" spans="1:19" x14ac:dyDescent="0.2">
      <c r="A413" t="e">
        <f t="shared" si="594"/>
        <v>#NUM!</v>
      </c>
      <c r="B413" t="e">
        <f t="shared" si="595"/>
        <v>#NUM!</v>
      </c>
      <c r="C413" t="e">
        <f t="shared" si="596"/>
        <v>#NUM!</v>
      </c>
      <c r="D413" t="e">
        <f t="shared" si="597"/>
        <v>#NUM!</v>
      </c>
      <c r="E413" t="e">
        <f t="shared" si="598"/>
        <v>#NUM!</v>
      </c>
      <c r="F413" t="e">
        <f t="shared" si="599"/>
        <v>#NUM!</v>
      </c>
      <c r="G413" t="e">
        <f t="shared" si="600"/>
        <v>#NUM!</v>
      </c>
      <c r="H413" s="5" t="e">
        <f t="shared" si="601"/>
        <v>#NUM!</v>
      </c>
      <c r="I413" s="5" t="e">
        <f t="shared" si="602"/>
        <v>#NUM!</v>
      </c>
      <c r="J413" s="5">
        <v>406</v>
      </c>
      <c r="N413">
        <f t="shared" si="619"/>
        <v>1.8410870583500778</v>
      </c>
      <c r="O413">
        <f t="shared" si="589"/>
        <v>-4.2253822631010962E-5</v>
      </c>
    </row>
    <row r="414" spans="1:19" x14ac:dyDescent="0.2">
      <c r="A414" t="e">
        <f t="shared" si="594"/>
        <v>#NUM!</v>
      </c>
      <c r="B414" t="e">
        <f t="shared" si="595"/>
        <v>#NUM!</v>
      </c>
      <c r="C414" t="e">
        <f t="shared" si="596"/>
        <v>#NUM!</v>
      </c>
      <c r="D414" t="e">
        <f t="shared" si="597"/>
        <v>#NUM!</v>
      </c>
      <c r="E414" t="e">
        <f t="shared" si="598"/>
        <v>#NUM!</v>
      </c>
      <c r="F414" t="e">
        <f t="shared" si="599"/>
        <v>#NUM!</v>
      </c>
      <c r="G414" t="e">
        <f t="shared" si="600"/>
        <v>#NUM!</v>
      </c>
      <c r="H414" s="5" t="e">
        <f t="shared" si="601"/>
        <v>#NUM!</v>
      </c>
      <c r="I414" s="5" t="e">
        <f t="shared" si="602"/>
        <v>#NUM!</v>
      </c>
      <c r="J414" s="5">
        <v>407</v>
      </c>
      <c r="N414" s="10">
        <f t="shared" ref="N414" si="629">Q411</f>
        <v>1.8410970584500788</v>
      </c>
      <c r="O414">
        <f t="shared" si="589"/>
        <v>0</v>
      </c>
      <c r="P414">
        <f t="shared" ref="P414:P445" si="630">(O413-O415)/(N413-N415)</f>
        <v>4.225348534256625</v>
      </c>
      <c r="Q414" s="10">
        <f t="shared" ref="Q414" si="631">N414-O414/P414</f>
        <v>1.8410970584500788</v>
      </c>
      <c r="R414">
        <v>136</v>
      </c>
      <c r="S414">
        <f t="shared" ref="S414:S445" si="632">N414</f>
        <v>1.8410970584500788</v>
      </c>
    </row>
    <row r="415" spans="1:19" x14ac:dyDescent="0.2">
      <c r="A415" t="e">
        <f t="shared" si="594"/>
        <v>#NUM!</v>
      </c>
      <c r="B415" t="e">
        <f t="shared" si="595"/>
        <v>#NUM!</v>
      </c>
      <c r="C415" t="e">
        <f t="shared" si="596"/>
        <v>#NUM!</v>
      </c>
      <c r="D415" t="e">
        <f t="shared" si="597"/>
        <v>#NUM!</v>
      </c>
      <c r="E415" t="e">
        <f t="shared" si="598"/>
        <v>#NUM!</v>
      </c>
      <c r="F415" t="e">
        <f t="shared" si="599"/>
        <v>#NUM!</v>
      </c>
      <c r="G415" t="e">
        <f t="shared" si="600"/>
        <v>#NUM!</v>
      </c>
      <c r="H415" s="5" t="e">
        <f t="shared" si="601"/>
        <v>#NUM!</v>
      </c>
      <c r="I415" s="5" t="e">
        <f t="shared" si="602"/>
        <v>#NUM!</v>
      </c>
      <c r="J415" s="5">
        <v>408</v>
      </c>
      <c r="N415">
        <f t="shared" si="624"/>
        <v>1.8411070585500797</v>
      </c>
      <c r="O415">
        <f t="shared" si="589"/>
        <v>4.2253993131957657E-5</v>
      </c>
    </row>
    <row r="416" spans="1:19" x14ac:dyDescent="0.2">
      <c r="A416" t="e">
        <f t="shared" si="594"/>
        <v>#NUM!</v>
      </c>
      <c r="B416" t="e">
        <f t="shared" si="595"/>
        <v>#NUM!</v>
      </c>
      <c r="C416" t="e">
        <f t="shared" si="596"/>
        <v>#NUM!</v>
      </c>
      <c r="D416" t="e">
        <f t="shared" si="597"/>
        <v>#NUM!</v>
      </c>
      <c r="E416" t="e">
        <f t="shared" si="598"/>
        <v>#NUM!</v>
      </c>
      <c r="F416" t="e">
        <f t="shared" si="599"/>
        <v>#NUM!</v>
      </c>
      <c r="G416" t="e">
        <f t="shared" si="600"/>
        <v>#NUM!</v>
      </c>
      <c r="H416" s="5" t="e">
        <f t="shared" si="601"/>
        <v>#NUM!</v>
      </c>
      <c r="I416" s="5" t="e">
        <f t="shared" si="602"/>
        <v>#NUM!</v>
      </c>
      <c r="J416" s="5">
        <v>409</v>
      </c>
      <c r="N416">
        <f t="shared" si="619"/>
        <v>1.8410870583500778</v>
      </c>
      <c r="O416">
        <f t="shared" si="589"/>
        <v>-4.2253822631010962E-5</v>
      </c>
    </row>
    <row r="417" spans="1:19" x14ac:dyDescent="0.2">
      <c r="A417" t="e">
        <f t="shared" si="594"/>
        <v>#NUM!</v>
      </c>
      <c r="B417" t="e">
        <f t="shared" si="595"/>
        <v>#NUM!</v>
      </c>
      <c r="C417" t="e">
        <f t="shared" si="596"/>
        <v>#NUM!</v>
      </c>
      <c r="D417" t="e">
        <f t="shared" si="597"/>
        <v>#NUM!</v>
      </c>
      <c r="E417" t="e">
        <f t="shared" si="598"/>
        <v>#NUM!</v>
      </c>
      <c r="F417" t="e">
        <f t="shared" si="599"/>
        <v>#NUM!</v>
      </c>
      <c r="G417" t="e">
        <f t="shared" si="600"/>
        <v>#NUM!</v>
      </c>
      <c r="H417" s="5" t="e">
        <f t="shared" si="601"/>
        <v>#NUM!</v>
      </c>
      <c r="I417" s="5" t="e">
        <f t="shared" si="602"/>
        <v>#NUM!</v>
      </c>
      <c r="J417" s="5">
        <v>410</v>
      </c>
      <c r="N417" s="10">
        <f t="shared" ref="N417" si="633">Q414</f>
        <v>1.8410970584500788</v>
      </c>
      <c r="O417">
        <f t="shared" si="589"/>
        <v>0</v>
      </c>
      <c r="P417">
        <f t="shared" ref="P417:P448" si="634">(O416-O418)/(N416-N418)</f>
        <v>4.225348534256625</v>
      </c>
      <c r="Q417" s="10">
        <f t="shared" ref="Q417" si="635">N417-O417/P417</f>
        <v>1.8410970584500788</v>
      </c>
      <c r="R417">
        <v>137</v>
      </c>
      <c r="S417">
        <f t="shared" ref="S417:S448" si="636">N417</f>
        <v>1.8410970584500788</v>
      </c>
    </row>
    <row r="418" spans="1:19" x14ac:dyDescent="0.2">
      <c r="A418" t="e">
        <f t="shared" si="594"/>
        <v>#NUM!</v>
      </c>
      <c r="B418" t="e">
        <f t="shared" si="595"/>
        <v>#NUM!</v>
      </c>
      <c r="C418" t="e">
        <f t="shared" si="596"/>
        <v>#NUM!</v>
      </c>
      <c r="D418" t="e">
        <f t="shared" si="597"/>
        <v>#NUM!</v>
      </c>
      <c r="E418" t="e">
        <f t="shared" si="598"/>
        <v>#NUM!</v>
      </c>
      <c r="F418" t="e">
        <f t="shared" si="599"/>
        <v>#NUM!</v>
      </c>
      <c r="G418" t="e">
        <f t="shared" si="600"/>
        <v>#NUM!</v>
      </c>
      <c r="H418" s="5" t="e">
        <f t="shared" si="601"/>
        <v>#NUM!</v>
      </c>
      <c r="I418" s="5" t="e">
        <f t="shared" si="602"/>
        <v>#NUM!</v>
      </c>
      <c r="J418" s="5">
        <v>411</v>
      </c>
      <c r="N418">
        <f t="shared" si="624"/>
        <v>1.8411070585500797</v>
      </c>
      <c r="O418">
        <f t="shared" si="589"/>
        <v>4.2253993131957657E-5</v>
      </c>
    </row>
    <row r="419" spans="1:19" x14ac:dyDescent="0.2">
      <c r="A419" t="e">
        <f t="shared" si="594"/>
        <v>#NUM!</v>
      </c>
      <c r="B419" t="e">
        <f t="shared" si="595"/>
        <v>#NUM!</v>
      </c>
      <c r="C419" t="e">
        <f t="shared" si="596"/>
        <v>#NUM!</v>
      </c>
      <c r="D419" t="e">
        <f t="shared" si="597"/>
        <v>#NUM!</v>
      </c>
      <c r="E419" t="e">
        <f t="shared" si="598"/>
        <v>#NUM!</v>
      </c>
      <c r="F419" t="e">
        <f t="shared" si="599"/>
        <v>#NUM!</v>
      </c>
      <c r="G419" t="e">
        <f t="shared" si="600"/>
        <v>#NUM!</v>
      </c>
      <c r="H419" s="5" t="e">
        <f t="shared" si="601"/>
        <v>#NUM!</v>
      </c>
      <c r="I419" s="5" t="e">
        <f t="shared" si="602"/>
        <v>#NUM!</v>
      </c>
      <c r="J419" s="5">
        <v>412</v>
      </c>
      <c r="N419">
        <f t="shared" si="619"/>
        <v>1.8410870583500778</v>
      </c>
      <c r="O419">
        <f t="shared" si="589"/>
        <v>-4.2253822631010962E-5</v>
      </c>
    </row>
    <row r="420" spans="1:19" x14ac:dyDescent="0.2">
      <c r="A420" t="e">
        <f t="shared" si="594"/>
        <v>#NUM!</v>
      </c>
      <c r="B420" t="e">
        <f t="shared" si="595"/>
        <v>#NUM!</v>
      </c>
      <c r="C420" t="e">
        <f t="shared" si="596"/>
        <v>#NUM!</v>
      </c>
      <c r="D420" t="e">
        <f t="shared" si="597"/>
        <v>#NUM!</v>
      </c>
      <c r="E420" t="e">
        <f t="shared" si="598"/>
        <v>#NUM!</v>
      </c>
      <c r="F420" t="e">
        <f t="shared" si="599"/>
        <v>#NUM!</v>
      </c>
      <c r="G420" t="e">
        <f t="shared" si="600"/>
        <v>#NUM!</v>
      </c>
      <c r="H420" s="5" t="e">
        <f t="shared" si="601"/>
        <v>#NUM!</v>
      </c>
      <c r="I420" s="5" t="e">
        <f t="shared" si="602"/>
        <v>#NUM!</v>
      </c>
      <c r="J420" s="5">
        <v>413</v>
      </c>
      <c r="N420" s="10">
        <f t="shared" ref="N420" si="637">Q417</f>
        <v>1.8410970584500788</v>
      </c>
      <c r="O420">
        <f t="shared" si="589"/>
        <v>0</v>
      </c>
      <c r="P420">
        <f t="shared" ref="P420:P451" si="638">(O419-O421)/(N419-N421)</f>
        <v>4.225348534256625</v>
      </c>
      <c r="Q420" s="10">
        <f t="shared" ref="Q420" si="639">N420-O420/P420</f>
        <v>1.8410970584500788</v>
      </c>
      <c r="R420">
        <v>138</v>
      </c>
      <c r="S420">
        <f t="shared" ref="S420:S451" si="640">N420</f>
        <v>1.8410970584500788</v>
      </c>
    </row>
    <row r="421" spans="1:19" x14ac:dyDescent="0.2">
      <c r="A421" t="e">
        <f t="shared" si="594"/>
        <v>#NUM!</v>
      </c>
      <c r="B421" t="e">
        <f t="shared" si="595"/>
        <v>#NUM!</v>
      </c>
      <c r="C421" t="e">
        <f t="shared" si="596"/>
        <v>#NUM!</v>
      </c>
      <c r="D421" t="e">
        <f t="shared" si="597"/>
        <v>#NUM!</v>
      </c>
      <c r="E421" t="e">
        <f t="shared" si="598"/>
        <v>#NUM!</v>
      </c>
      <c r="F421" t="e">
        <f t="shared" si="599"/>
        <v>#NUM!</v>
      </c>
      <c r="G421" t="e">
        <f t="shared" si="600"/>
        <v>#NUM!</v>
      </c>
      <c r="H421" s="5" t="e">
        <f t="shared" si="601"/>
        <v>#NUM!</v>
      </c>
      <c r="I421" s="5" t="e">
        <f t="shared" si="602"/>
        <v>#NUM!</v>
      </c>
      <c r="J421" s="5">
        <v>414</v>
      </c>
      <c r="N421">
        <f t="shared" si="624"/>
        <v>1.8411070585500797</v>
      </c>
      <c r="O421">
        <f t="shared" si="589"/>
        <v>4.2253993131957657E-5</v>
      </c>
    </row>
    <row r="422" spans="1:19" x14ac:dyDescent="0.2">
      <c r="A422" t="e">
        <f t="shared" si="594"/>
        <v>#NUM!</v>
      </c>
      <c r="B422" t="e">
        <f t="shared" si="595"/>
        <v>#NUM!</v>
      </c>
      <c r="C422" t="e">
        <f t="shared" si="596"/>
        <v>#NUM!</v>
      </c>
      <c r="D422" t="e">
        <f t="shared" si="597"/>
        <v>#NUM!</v>
      </c>
      <c r="E422" t="e">
        <f t="shared" si="598"/>
        <v>#NUM!</v>
      </c>
      <c r="F422" t="e">
        <f t="shared" si="599"/>
        <v>#NUM!</v>
      </c>
      <c r="G422" t="e">
        <f t="shared" si="600"/>
        <v>#NUM!</v>
      </c>
      <c r="H422" s="5" t="e">
        <f t="shared" si="601"/>
        <v>#NUM!</v>
      </c>
      <c r="I422" s="5" t="e">
        <f t="shared" si="602"/>
        <v>#NUM!</v>
      </c>
      <c r="J422" s="5">
        <v>415</v>
      </c>
      <c r="N422">
        <f t="shared" si="619"/>
        <v>1.8410870583500778</v>
      </c>
      <c r="O422">
        <f t="shared" si="589"/>
        <v>-4.2253822631010962E-5</v>
      </c>
    </row>
    <row r="423" spans="1:19" x14ac:dyDescent="0.2">
      <c r="A423" t="e">
        <f t="shared" si="594"/>
        <v>#NUM!</v>
      </c>
      <c r="B423" t="e">
        <f t="shared" si="595"/>
        <v>#NUM!</v>
      </c>
      <c r="C423" t="e">
        <f t="shared" si="596"/>
        <v>#NUM!</v>
      </c>
      <c r="D423" t="e">
        <f t="shared" si="597"/>
        <v>#NUM!</v>
      </c>
      <c r="E423" t="e">
        <f t="shared" si="598"/>
        <v>#NUM!</v>
      </c>
      <c r="F423" t="e">
        <f t="shared" si="599"/>
        <v>#NUM!</v>
      </c>
      <c r="G423" t="e">
        <f t="shared" si="600"/>
        <v>#NUM!</v>
      </c>
      <c r="H423" s="5" t="e">
        <f t="shared" si="601"/>
        <v>#NUM!</v>
      </c>
      <c r="I423" s="5" t="e">
        <f t="shared" si="602"/>
        <v>#NUM!</v>
      </c>
      <c r="J423" s="5">
        <v>416</v>
      </c>
      <c r="N423" s="10">
        <f t="shared" ref="N423" si="641">Q420</f>
        <v>1.8410970584500788</v>
      </c>
      <c r="O423">
        <f t="shared" si="589"/>
        <v>0</v>
      </c>
      <c r="P423">
        <f t="shared" ref="P423:P454" si="642">(O422-O424)/(N422-N424)</f>
        <v>4.225348534256625</v>
      </c>
      <c r="Q423" s="10">
        <f t="shared" ref="Q423" si="643">N423-O423/P423</f>
        <v>1.8410970584500788</v>
      </c>
      <c r="R423">
        <v>139</v>
      </c>
      <c r="S423">
        <f t="shared" ref="S423:S454" si="644">N423</f>
        <v>1.8410970584500788</v>
      </c>
    </row>
    <row r="424" spans="1:19" x14ac:dyDescent="0.2">
      <c r="A424" t="e">
        <f t="shared" si="594"/>
        <v>#NUM!</v>
      </c>
      <c r="B424" t="e">
        <f t="shared" si="595"/>
        <v>#NUM!</v>
      </c>
      <c r="C424" t="e">
        <f t="shared" si="596"/>
        <v>#NUM!</v>
      </c>
      <c r="D424" t="e">
        <f t="shared" si="597"/>
        <v>#NUM!</v>
      </c>
      <c r="E424" t="e">
        <f t="shared" si="598"/>
        <v>#NUM!</v>
      </c>
      <c r="F424" t="e">
        <f t="shared" si="599"/>
        <v>#NUM!</v>
      </c>
      <c r="G424" t="e">
        <f t="shared" si="600"/>
        <v>#NUM!</v>
      </c>
      <c r="H424" s="5" t="e">
        <f t="shared" si="601"/>
        <v>#NUM!</v>
      </c>
      <c r="I424" s="5" t="e">
        <f t="shared" si="602"/>
        <v>#NUM!</v>
      </c>
      <c r="J424" s="5">
        <v>417</v>
      </c>
      <c r="N424">
        <f t="shared" si="624"/>
        <v>1.8411070585500797</v>
      </c>
      <c r="O424">
        <f t="shared" si="589"/>
        <v>4.2253993131957657E-5</v>
      </c>
    </row>
    <row r="425" spans="1:19" x14ac:dyDescent="0.2">
      <c r="A425" t="e">
        <f t="shared" si="594"/>
        <v>#NUM!</v>
      </c>
      <c r="B425" t="e">
        <f t="shared" si="595"/>
        <v>#NUM!</v>
      </c>
      <c r="C425" t="e">
        <f t="shared" si="596"/>
        <v>#NUM!</v>
      </c>
      <c r="D425" t="e">
        <f t="shared" si="597"/>
        <v>#NUM!</v>
      </c>
      <c r="E425" t="e">
        <f t="shared" si="598"/>
        <v>#NUM!</v>
      </c>
      <c r="F425" t="e">
        <f t="shared" si="599"/>
        <v>#NUM!</v>
      </c>
      <c r="G425" t="e">
        <f t="shared" si="600"/>
        <v>#NUM!</v>
      </c>
      <c r="H425" s="5" t="e">
        <f t="shared" si="601"/>
        <v>#NUM!</v>
      </c>
      <c r="I425" s="5" t="e">
        <f t="shared" si="602"/>
        <v>#NUM!</v>
      </c>
      <c r="J425" s="5">
        <v>418</v>
      </c>
      <c r="N425">
        <f t="shared" si="619"/>
        <v>1.8410870583500778</v>
      </c>
      <c r="O425">
        <f t="shared" si="589"/>
        <v>-4.2253822631010962E-5</v>
      </c>
    </row>
    <row r="426" spans="1:19" x14ac:dyDescent="0.2">
      <c r="A426" t="e">
        <f t="shared" si="594"/>
        <v>#NUM!</v>
      </c>
      <c r="B426" t="e">
        <f t="shared" si="595"/>
        <v>#NUM!</v>
      </c>
      <c r="C426" t="e">
        <f t="shared" si="596"/>
        <v>#NUM!</v>
      </c>
      <c r="D426" t="e">
        <f t="shared" si="597"/>
        <v>#NUM!</v>
      </c>
      <c r="E426" t="e">
        <f t="shared" si="598"/>
        <v>#NUM!</v>
      </c>
      <c r="F426" t="e">
        <f t="shared" si="599"/>
        <v>#NUM!</v>
      </c>
      <c r="G426" t="e">
        <f t="shared" si="600"/>
        <v>#NUM!</v>
      </c>
      <c r="H426" s="5" t="e">
        <f t="shared" si="601"/>
        <v>#NUM!</v>
      </c>
      <c r="I426" s="5" t="e">
        <f t="shared" si="602"/>
        <v>#NUM!</v>
      </c>
      <c r="J426" s="5">
        <v>419</v>
      </c>
      <c r="N426" s="10">
        <f t="shared" ref="N426" si="645">Q423</f>
        <v>1.8410970584500788</v>
      </c>
      <c r="O426">
        <f t="shared" si="589"/>
        <v>0</v>
      </c>
      <c r="P426">
        <f t="shared" ref="P426:P457" si="646">(O425-O427)/(N425-N427)</f>
        <v>4.225348534256625</v>
      </c>
      <c r="Q426" s="10">
        <f t="shared" ref="Q426" si="647">N426-O426/P426</f>
        <v>1.8410970584500788</v>
      </c>
      <c r="R426">
        <v>140</v>
      </c>
      <c r="S426">
        <f t="shared" ref="S426:S457" si="648">N426</f>
        <v>1.8410970584500788</v>
      </c>
    </row>
    <row r="427" spans="1:19" x14ac:dyDescent="0.2">
      <c r="A427" t="e">
        <f t="shared" si="594"/>
        <v>#NUM!</v>
      </c>
      <c r="B427" t="e">
        <f t="shared" si="595"/>
        <v>#NUM!</v>
      </c>
      <c r="C427" t="e">
        <f t="shared" si="596"/>
        <v>#NUM!</v>
      </c>
      <c r="D427" t="e">
        <f t="shared" si="597"/>
        <v>#NUM!</v>
      </c>
      <c r="E427" t="e">
        <f t="shared" si="598"/>
        <v>#NUM!</v>
      </c>
      <c r="F427" t="e">
        <f t="shared" si="599"/>
        <v>#NUM!</v>
      </c>
      <c r="G427" t="e">
        <f t="shared" si="600"/>
        <v>#NUM!</v>
      </c>
      <c r="H427" s="5" t="e">
        <f t="shared" si="601"/>
        <v>#NUM!</v>
      </c>
      <c r="I427" s="5" t="e">
        <f t="shared" si="602"/>
        <v>#NUM!</v>
      </c>
      <c r="J427" s="5">
        <v>420</v>
      </c>
      <c r="N427">
        <f t="shared" si="624"/>
        <v>1.8411070585500797</v>
      </c>
      <c r="O427">
        <f t="shared" si="589"/>
        <v>4.2253993131957657E-5</v>
      </c>
    </row>
    <row r="428" spans="1:19" x14ac:dyDescent="0.2">
      <c r="A428" t="e">
        <f t="shared" si="594"/>
        <v>#NUM!</v>
      </c>
      <c r="B428" t="e">
        <f t="shared" si="595"/>
        <v>#NUM!</v>
      </c>
      <c r="C428" t="e">
        <f t="shared" si="596"/>
        <v>#NUM!</v>
      </c>
      <c r="D428" t="e">
        <f t="shared" si="597"/>
        <v>#NUM!</v>
      </c>
      <c r="E428" t="e">
        <f t="shared" si="598"/>
        <v>#NUM!</v>
      </c>
      <c r="F428" t="e">
        <f t="shared" si="599"/>
        <v>#NUM!</v>
      </c>
      <c r="G428" t="e">
        <f t="shared" si="600"/>
        <v>#NUM!</v>
      </c>
      <c r="H428" s="5" t="e">
        <f t="shared" si="601"/>
        <v>#NUM!</v>
      </c>
      <c r="I428" s="5" t="e">
        <f t="shared" si="602"/>
        <v>#NUM!</v>
      </c>
      <c r="J428" s="5">
        <v>421</v>
      </c>
      <c r="N428">
        <f t="shared" si="619"/>
        <v>1.8410870583500778</v>
      </c>
      <c r="O428">
        <f t="shared" si="589"/>
        <v>-4.2253822631010962E-5</v>
      </c>
    </row>
    <row r="429" spans="1:19" x14ac:dyDescent="0.2">
      <c r="A429" t="e">
        <f t="shared" si="594"/>
        <v>#NUM!</v>
      </c>
      <c r="B429" t="e">
        <f t="shared" si="595"/>
        <v>#NUM!</v>
      </c>
      <c r="C429" t="e">
        <f t="shared" si="596"/>
        <v>#NUM!</v>
      </c>
      <c r="D429" t="e">
        <f t="shared" si="597"/>
        <v>#NUM!</v>
      </c>
      <c r="E429" t="e">
        <f t="shared" si="598"/>
        <v>#NUM!</v>
      </c>
      <c r="F429" t="e">
        <f t="shared" si="599"/>
        <v>#NUM!</v>
      </c>
      <c r="G429" t="e">
        <f t="shared" si="600"/>
        <v>#NUM!</v>
      </c>
      <c r="H429" s="5" t="e">
        <f t="shared" si="601"/>
        <v>#NUM!</v>
      </c>
      <c r="I429" s="5" t="e">
        <f t="shared" si="602"/>
        <v>#NUM!</v>
      </c>
      <c r="J429" s="5">
        <v>422</v>
      </c>
      <c r="N429" s="10">
        <f t="shared" ref="N429" si="649">Q426</f>
        <v>1.8410970584500788</v>
      </c>
      <c r="O429">
        <f t="shared" si="589"/>
        <v>0</v>
      </c>
      <c r="P429">
        <f t="shared" ref="P429:P460" si="650">(O428-O430)/(N428-N430)</f>
        <v>4.225348534256625</v>
      </c>
      <c r="Q429" s="10">
        <f t="shared" ref="Q429" si="651">N429-O429/P429</f>
        <v>1.8410970584500788</v>
      </c>
      <c r="R429">
        <v>141</v>
      </c>
      <c r="S429">
        <f t="shared" ref="S429:S460" si="652">N429</f>
        <v>1.8410970584500788</v>
      </c>
    </row>
    <row r="430" spans="1:19" x14ac:dyDescent="0.2">
      <c r="A430" t="e">
        <f t="shared" si="594"/>
        <v>#NUM!</v>
      </c>
      <c r="B430" t="e">
        <f t="shared" si="595"/>
        <v>#NUM!</v>
      </c>
      <c r="C430" t="e">
        <f t="shared" si="596"/>
        <v>#NUM!</v>
      </c>
      <c r="D430" t="e">
        <f t="shared" si="597"/>
        <v>#NUM!</v>
      </c>
      <c r="E430" t="e">
        <f t="shared" si="598"/>
        <v>#NUM!</v>
      </c>
      <c r="F430" t="e">
        <f t="shared" si="599"/>
        <v>#NUM!</v>
      </c>
      <c r="G430" t="e">
        <f t="shared" si="600"/>
        <v>#NUM!</v>
      </c>
      <c r="H430" s="5" t="e">
        <f t="shared" si="601"/>
        <v>#NUM!</v>
      </c>
      <c r="I430" s="5" t="e">
        <f t="shared" si="602"/>
        <v>#NUM!</v>
      </c>
      <c r="J430" s="5">
        <v>423</v>
      </c>
      <c r="N430">
        <f t="shared" si="624"/>
        <v>1.8411070585500797</v>
      </c>
      <c r="O430">
        <f t="shared" si="589"/>
        <v>4.2253993131957657E-5</v>
      </c>
    </row>
    <row r="431" spans="1:19" x14ac:dyDescent="0.2">
      <c r="A431" t="e">
        <f t="shared" si="594"/>
        <v>#NUM!</v>
      </c>
      <c r="B431" t="e">
        <f t="shared" si="595"/>
        <v>#NUM!</v>
      </c>
      <c r="C431" t="e">
        <f t="shared" si="596"/>
        <v>#NUM!</v>
      </c>
      <c r="D431" t="e">
        <f t="shared" si="597"/>
        <v>#NUM!</v>
      </c>
      <c r="E431" t="e">
        <f t="shared" si="598"/>
        <v>#NUM!</v>
      </c>
      <c r="F431" t="e">
        <f t="shared" si="599"/>
        <v>#NUM!</v>
      </c>
      <c r="G431" t="e">
        <f t="shared" si="600"/>
        <v>#NUM!</v>
      </c>
      <c r="H431" s="5" t="e">
        <f t="shared" si="601"/>
        <v>#NUM!</v>
      </c>
      <c r="I431" s="5" t="e">
        <f t="shared" si="602"/>
        <v>#NUM!</v>
      </c>
      <c r="J431" s="5">
        <v>424</v>
      </c>
      <c r="N431">
        <f t="shared" si="619"/>
        <v>1.8410870583500778</v>
      </c>
      <c r="O431">
        <f t="shared" si="589"/>
        <v>-4.2253822631010962E-5</v>
      </c>
    </row>
    <row r="432" spans="1:19" x14ac:dyDescent="0.2">
      <c r="A432" t="e">
        <f t="shared" si="594"/>
        <v>#NUM!</v>
      </c>
      <c r="B432" t="e">
        <f t="shared" si="595"/>
        <v>#NUM!</v>
      </c>
      <c r="C432" t="e">
        <f t="shared" si="596"/>
        <v>#NUM!</v>
      </c>
      <c r="D432" t="e">
        <f t="shared" si="597"/>
        <v>#NUM!</v>
      </c>
      <c r="E432" t="e">
        <f t="shared" si="598"/>
        <v>#NUM!</v>
      </c>
      <c r="F432" t="e">
        <f t="shared" si="599"/>
        <v>#NUM!</v>
      </c>
      <c r="G432" t="e">
        <f t="shared" si="600"/>
        <v>#NUM!</v>
      </c>
      <c r="H432" s="5" t="e">
        <f t="shared" si="601"/>
        <v>#NUM!</v>
      </c>
      <c r="I432" s="5" t="e">
        <f t="shared" si="602"/>
        <v>#NUM!</v>
      </c>
      <c r="J432" s="5">
        <v>425</v>
      </c>
      <c r="N432" s="10">
        <f t="shared" ref="N432" si="653">Q429</f>
        <v>1.8410970584500788</v>
      </c>
      <c r="O432">
        <f t="shared" si="589"/>
        <v>0</v>
      </c>
      <c r="P432">
        <f t="shared" ref="P432:P463" si="654">(O431-O433)/(N431-N433)</f>
        <v>4.225348534256625</v>
      </c>
      <c r="Q432" s="10">
        <f t="shared" ref="Q432" si="655">N432-O432/P432</f>
        <v>1.8410970584500788</v>
      </c>
      <c r="R432">
        <v>142</v>
      </c>
      <c r="S432">
        <f t="shared" ref="S432:S463" si="656">N432</f>
        <v>1.8410970584500788</v>
      </c>
    </row>
    <row r="433" spans="1:19" x14ac:dyDescent="0.2">
      <c r="A433" t="e">
        <f t="shared" si="594"/>
        <v>#NUM!</v>
      </c>
      <c r="B433" t="e">
        <f t="shared" si="595"/>
        <v>#NUM!</v>
      </c>
      <c r="C433" t="e">
        <f t="shared" si="596"/>
        <v>#NUM!</v>
      </c>
      <c r="D433" t="e">
        <f t="shared" si="597"/>
        <v>#NUM!</v>
      </c>
      <c r="E433" t="e">
        <f t="shared" si="598"/>
        <v>#NUM!</v>
      </c>
      <c r="F433" t="e">
        <f t="shared" si="599"/>
        <v>#NUM!</v>
      </c>
      <c r="G433" t="e">
        <f t="shared" si="600"/>
        <v>#NUM!</v>
      </c>
      <c r="H433" s="5" t="e">
        <f t="shared" si="601"/>
        <v>#NUM!</v>
      </c>
      <c r="I433" s="5" t="e">
        <f t="shared" si="602"/>
        <v>#NUM!</v>
      </c>
      <c r="J433" s="5">
        <v>426</v>
      </c>
      <c r="N433">
        <f t="shared" si="624"/>
        <v>1.8411070585500797</v>
      </c>
      <c r="O433">
        <f t="shared" si="589"/>
        <v>4.2253993131957657E-5</v>
      </c>
    </row>
    <row r="434" spans="1:19" x14ac:dyDescent="0.2">
      <c r="A434" t="e">
        <f t="shared" si="594"/>
        <v>#NUM!</v>
      </c>
      <c r="B434" t="e">
        <f t="shared" si="595"/>
        <v>#NUM!</v>
      </c>
      <c r="C434" t="e">
        <f t="shared" si="596"/>
        <v>#NUM!</v>
      </c>
      <c r="D434" t="e">
        <f t="shared" si="597"/>
        <v>#NUM!</v>
      </c>
      <c r="E434" t="e">
        <f t="shared" si="598"/>
        <v>#NUM!</v>
      </c>
      <c r="F434" t="e">
        <f t="shared" si="599"/>
        <v>#NUM!</v>
      </c>
      <c r="G434" t="e">
        <f t="shared" si="600"/>
        <v>#NUM!</v>
      </c>
      <c r="H434" s="5" t="e">
        <f t="shared" si="601"/>
        <v>#NUM!</v>
      </c>
      <c r="I434" s="5" t="e">
        <f t="shared" si="602"/>
        <v>#NUM!</v>
      </c>
      <c r="J434" s="5">
        <v>427</v>
      </c>
      <c r="N434">
        <f t="shared" si="619"/>
        <v>1.8410870583500778</v>
      </c>
      <c r="O434">
        <f t="shared" si="589"/>
        <v>-4.2253822631010962E-5</v>
      </c>
    </row>
    <row r="435" spans="1:19" x14ac:dyDescent="0.2">
      <c r="A435" t="e">
        <f t="shared" si="594"/>
        <v>#NUM!</v>
      </c>
      <c r="B435" t="e">
        <f t="shared" si="595"/>
        <v>#NUM!</v>
      </c>
      <c r="C435" t="e">
        <f t="shared" si="596"/>
        <v>#NUM!</v>
      </c>
      <c r="D435" t="e">
        <f t="shared" si="597"/>
        <v>#NUM!</v>
      </c>
      <c r="E435" t="e">
        <f t="shared" si="598"/>
        <v>#NUM!</v>
      </c>
      <c r="F435" t="e">
        <f t="shared" si="599"/>
        <v>#NUM!</v>
      </c>
      <c r="G435" t="e">
        <f t="shared" si="600"/>
        <v>#NUM!</v>
      </c>
      <c r="H435" s="5" t="e">
        <f t="shared" si="601"/>
        <v>#NUM!</v>
      </c>
      <c r="I435" s="5" t="e">
        <f t="shared" si="602"/>
        <v>#NUM!</v>
      </c>
      <c r="J435" s="5">
        <v>428</v>
      </c>
      <c r="N435" s="10">
        <f t="shared" ref="N435" si="657">Q432</f>
        <v>1.8410970584500788</v>
      </c>
      <c r="O435">
        <f t="shared" si="589"/>
        <v>0</v>
      </c>
      <c r="P435">
        <f t="shared" ref="P435:P466" si="658">(O434-O436)/(N434-N436)</f>
        <v>4.225348534256625</v>
      </c>
      <c r="Q435" s="10">
        <f t="shared" ref="Q435" si="659">N435-O435/P435</f>
        <v>1.8410970584500788</v>
      </c>
      <c r="R435">
        <v>143</v>
      </c>
      <c r="S435">
        <f t="shared" ref="S435:S466" si="660">N435</f>
        <v>1.8410970584500788</v>
      </c>
    </row>
    <row r="436" spans="1:19" x14ac:dyDescent="0.2">
      <c r="A436" t="e">
        <f t="shared" si="594"/>
        <v>#NUM!</v>
      </c>
      <c r="B436" t="e">
        <f t="shared" si="595"/>
        <v>#NUM!</v>
      </c>
      <c r="C436" t="e">
        <f t="shared" si="596"/>
        <v>#NUM!</v>
      </c>
      <c r="D436" t="e">
        <f t="shared" si="597"/>
        <v>#NUM!</v>
      </c>
      <c r="E436" t="e">
        <f t="shared" si="598"/>
        <v>#NUM!</v>
      </c>
      <c r="F436" t="e">
        <f t="shared" si="599"/>
        <v>#NUM!</v>
      </c>
      <c r="G436" t="e">
        <f t="shared" si="600"/>
        <v>#NUM!</v>
      </c>
      <c r="H436" s="5" t="e">
        <f t="shared" si="601"/>
        <v>#NUM!</v>
      </c>
      <c r="I436" s="5" t="e">
        <f t="shared" si="602"/>
        <v>#NUM!</v>
      </c>
      <c r="J436" s="5">
        <v>429</v>
      </c>
      <c r="N436">
        <f t="shared" si="624"/>
        <v>1.8411070585500797</v>
      </c>
      <c r="O436">
        <f t="shared" si="589"/>
        <v>4.2253993131957657E-5</v>
      </c>
    </row>
    <row r="437" spans="1:19" x14ac:dyDescent="0.2">
      <c r="A437" t="e">
        <f t="shared" si="594"/>
        <v>#NUM!</v>
      </c>
      <c r="B437" t="e">
        <f t="shared" si="595"/>
        <v>#NUM!</v>
      </c>
      <c r="C437" t="e">
        <f t="shared" si="596"/>
        <v>#NUM!</v>
      </c>
      <c r="D437" t="e">
        <f t="shared" si="597"/>
        <v>#NUM!</v>
      </c>
      <c r="E437" t="e">
        <f t="shared" si="598"/>
        <v>#NUM!</v>
      </c>
      <c r="F437" t="e">
        <f t="shared" si="599"/>
        <v>#NUM!</v>
      </c>
      <c r="G437" t="e">
        <f t="shared" si="600"/>
        <v>#NUM!</v>
      </c>
      <c r="H437" s="5" t="e">
        <f t="shared" si="601"/>
        <v>#NUM!</v>
      </c>
      <c r="I437" s="5" t="e">
        <f t="shared" si="602"/>
        <v>#NUM!</v>
      </c>
      <c r="J437" s="5">
        <v>430</v>
      </c>
      <c r="N437">
        <f t="shared" si="619"/>
        <v>1.8410870583500778</v>
      </c>
      <c r="O437">
        <f t="shared" si="589"/>
        <v>-4.2253822631010962E-5</v>
      </c>
    </row>
    <row r="438" spans="1:19" x14ac:dyDescent="0.2">
      <c r="A438" t="e">
        <f t="shared" si="594"/>
        <v>#NUM!</v>
      </c>
      <c r="B438" t="e">
        <f t="shared" si="595"/>
        <v>#NUM!</v>
      </c>
      <c r="C438" t="e">
        <f t="shared" si="596"/>
        <v>#NUM!</v>
      </c>
      <c r="D438" t="e">
        <f t="shared" si="597"/>
        <v>#NUM!</v>
      </c>
      <c r="E438" t="e">
        <f t="shared" si="598"/>
        <v>#NUM!</v>
      </c>
      <c r="F438" t="e">
        <f t="shared" si="599"/>
        <v>#NUM!</v>
      </c>
      <c r="G438" t="e">
        <f t="shared" si="600"/>
        <v>#NUM!</v>
      </c>
      <c r="H438" s="5" t="e">
        <f t="shared" si="601"/>
        <v>#NUM!</v>
      </c>
      <c r="I438" s="5" t="e">
        <f t="shared" si="602"/>
        <v>#NUM!</v>
      </c>
      <c r="J438" s="5">
        <v>431</v>
      </c>
      <c r="N438" s="10">
        <f t="shared" ref="N438" si="661">Q435</f>
        <v>1.8410970584500788</v>
      </c>
      <c r="O438">
        <f t="shared" si="589"/>
        <v>0</v>
      </c>
      <c r="P438">
        <f t="shared" ref="P438:P469" si="662">(O437-O439)/(N437-N439)</f>
        <v>4.225348534256625</v>
      </c>
      <c r="Q438" s="10">
        <f t="shared" ref="Q438" si="663">N438-O438/P438</f>
        <v>1.8410970584500788</v>
      </c>
      <c r="R438">
        <v>144</v>
      </c>
      <c r="S438">
        <f t="shared" ref="S438:S469" si="664">N438</f>
        <v>1.8410970584500788</v>
      </c>
    </row>
    <row r="439" spans="1:19" x14ac:dyDescent="0.2">
      <c r="A439" t="e">
        <f t="shared" si="594"/>
        <v>#NUM!</v>
      </c>
      <c r="B439" t="e">
        <f t="shared" si="595"/>
        <v>#NUM!</v>
      </c>
      <c r="C439" t="e">
        <f t="shared" si="596"/>
        <v>#NUM!</v>
      </c>
      <c r="D439" t="e">
        <f t="shared" si="597"/>
        <v>#NUM!</v>
      </c>
      <c r="E439" t="e">
        <f t="shared" si="598"/>
        <v>#NUM!</v>
      </c>
      <c r="F439" t="e">
        <f t="shared" si="599"/>
        <v>#NUM!</v>
      </c>
      <c r="G439" t="e">
        <f t="shared" si="600"/>
        <v>#NUM!</v>
      </c>
      <c r="H439" s="5" t="e">
        <f t="shared" si="601"/>
        <v>#NUM!</v>
      </c>
      <c r="I439" s="5" t="e">
        <f t="shared" si="602"/>
        <v>#NUM!</v>
      </c>
      <c r="J439" s="5">
        <v>432</v>
      </c>
      <c r="N439">
        <f t="shared" si="624"/>
        <v>1.8411070585500797</v>
      </c>
      <c r="O439">
        <f t="shared" si="589"/>
        <v>4.2253993131957657E-5</v>
      </c>
    </row>
    <row r="440" spans="1:19" x14ac:dyDescent="0.2">
      <c r="A440" t="e">
        <f t="shared" si="594"/>
        <v>#NUM!</v>
      </c>
      <c r="B440" t="e">
        <f t="shared" si="595"/>
        <v>#NUM!</v>
      </c>
      <c r="C440" t="e">
        <f t="shared" si="596"/>
        <v>#NUM!</v>
      </c>
      <c r="D440" t="e">
        <f t="shared" si="597"/>
        <v>#NUM!</v>
      </c>
      <c r="E440" t="e">
        <f t="shared" si="598"/>
        <v>#NUM!</v>
      </c>
      <c r="F440" t="e">
        <f t="shared" si="599"/>
        <v>#NUM!</v>
      </c>
      <c r="G440" t="e">
        <f t="shared" si="600"/>
        <v>#NUM!</v>
      </c>
      <c r="H440" s="5" t="e">
        <f t="shared" si="601"/>
        <v>#NUM!</v>
      </c>
      <c r="I440" s="5" t="e">
        <f t="shared" si="602"/>
        <v>#NUM!</v>
      </c>
      <c r="J440" s="5">
        <v>433</v>
      </c>
      <c r="N440">
        <f t="shared" si="619"/>
        <v>1.8410870583500778</v>
      </c>
      <c r="O440">
        <f t="shared" si="589"/>
        <v>-4.2253822631010962E-5</v>
      </c>
    </row>
    <row r="441" spans="1:19" x14ac:dyDescent="0.2">
      <c r="A441" t="e">
        <f t="shared" si="594"/>
        <v>#NUM!</v>
      </c>
      <c r="B441" t="e">
        <f t="shared" si="595"/>
        <v>#NUM!</v>
      </c>
      <c r="C441" t="e">
        <f t="shared" si="596"/>
        <v>#NUM!</v>
      </c>
      <c r="D441" t="e">
        <f t="shared" si="597"/>
        <v>#NUM!</v>
      </c>
      <c r="E441" t="e">
        <f t="shared" si="598"/>
        <v>#NUM!</v>
      </c>
      <c r="F441" t="e">
        <f t="shared" si="599"/>
        <v>#NUM!</v>
      </c>
      <c r="G441" t="e">
        <f t="shared" si="600"/>
        <v>#NUM!</v>
      </c>
      <c r="H441" s="5" t="e">
        <f t="shared" si="601"/>
        <v>#NUM!</v>
      </c>
      <c r="I441" s="5" t="e">
        <f t="shared" si="602"/>
        <v>#NUM!</v>
      </c>
      <c r="J441" s="5">
        <v>434</v>
      </c>
      <c r="N441" s="10">
        <f t="shared" ref="N441" si="665">Q438</f>
        <v>1.8410970584500788</v>
      </c>
      <c r="O441">
        <f t="shared" si="589"/>
        <v>0</v>
      </c>
      <c r="P441">
        <f t="shared" ref="P441:P472" si="666">(O440-O442)/(N440-N442)</f>
        <v>4.225348534256625</v>
      </c>
      <c r="Q441" s="10">
        <f t="shared" ref="Q441" si="667">N441-O441/P441</f>
        <v>1.8410970584500788</v>
      </c>
      <c r="R441">
        <v>145</v>
      </c>
      <c r="S441">
        <f t="shared" ref="S441:S472" si="668">N441</f>
        <v>1.8410970584500788</v>
      </c>
    </row>
    <row r="442" spans="1:19" x14ac:dyDescent="0.2">
      <c r="A442" t="e">
        <f t="shared" si="594"/>
        <v>#NUM!</v>
      </c>
      <c r="B442" t="e">
        <f t="shared" si="595"/>
        <v>#NUM!</v>
      </c>
      <c r="C442" t="e">
        <f t="shared" si="596"/>
        <v>#NUM!</v>
      </c>
      <c r="D442" t="e">
        <f t="shared" si="597"/>
        <v>#NUM!</v>
      </c>
      <c r="E442" t="e">
        <f t="shared" si="598"/>
        <v>#NUM!</v>
      </c>
      <c r="F442" t="e">
        <f t="shared" si="599"/>
        <v>#NUM!</v>
      </c>
      <c r="G442" t="e">
        <f t="shared" si="600"/>
        <v>#NUM!</v>
      </c>
      <c r="H442" s="5" t="e">
        <f t="shared" si="601"/>
        <v>#NUM!</v>
      </c>
      <c r="I442" s="5" t="e">
        <f t="shared" si="602"/>
        <v>#NUM!</v>
      </c>
      <c r="J442" s="5">
        <v>435</v>
      </c>
      <c r="N442">
        <f t="shared" si="624"/>
        <v>1.8411070585500797</v>
      </c>
      <c r="O442">
        <f t="shared" si="589"/>
        <v>4.2253993131957657E-5</v>
      </c>
    </row>
    <row r="443" spans="1:19" x14ac:dyDescent="0.2">
      <c r="A443" t="e">
        <f t="shared" si="594"/>
        <v>#NUM!</v>
      </c>
      <c r="B443" t="e">
        <f t="shared" si="595"/>
        <v>#NUM!</v>
      </c>
      <c r="C443" t="e">
        <f t="shared" si="596"/>
        <v>#NUM!</v>
      </c>
      <c r="D443" t="e">
        <f t="shared" si="597"/>
        <v>#NUM!</v>
      </c>
      <c r="E443" t="e">
        <f t="shared" si="598"/>
        <v>#NUM!</v>
      </c>
      <c r="F443" t="e">
        <f t="shared" si="599"/>
        <v>#NUM!</v>
      </c>
      <c r="G443" t="e">
        <f t="shared" si="600"/>
        <v>#NUM!</v>
      </c>
      <c r="H443" s="5" t="e">
        <f t="shared" si="601"/>
        <v>#NUM!</v>
      </c>
      <c r="I443" s="5" t="e">
        <f t="shared" si="602"/>
        <v>#NUM!</v>
      </c>
      <c r="J443" s="5">
        <v>436</v>
      </c>
      <c r="N443">
        <f t="shared" si="619"/>
        <v>1.8410870583500778</v>
      </c>
      <c r="O443">
        <f t="shared" si="589"/>
        <v>-4.2253822631010962E-5</v>
      </c>
    </row>
    <row r="444" spans="1:19" x14ac:dyDescent="0.2">
      <c r="A444" t="e">
        <f t="shared" si="594"/>
        <v>#NUM!</v>
      </c>
      <c r="B444" t="e">
        <f t="shared" si="595"/>
        <v>#NUM!</v>
      </c>
      <c r="C444" t="e">
        <f t="shared" si="596"/>
        <v>#NUM!</v>
      </c>
      <c r="D444" t="e">
        <f t="shared" si="597"/>
        <v>#NUM!</v>
      </c>
      <c r="E444" t="e">
        <f t="shared" si="598"/>
        <v>#NUM!</v>
      </c>
      <c r="F444" t="e">
        <f t="shared" si="599"/>
        <v>#NUM!</v>
      </c>
      <c r="G444" t="e">
        <f t="shared" si="600"/>
        <v>#NUM!</v>
      </c>
      <c r="H444" s="5" t="e">
        <f t="shared" si="601"/>
        <v>#NUM!</v>
      </c>
      <c r="I444" s="5" t="e">
        <f t="shared" si="602"/>
        <v>#NUM!</v>
      </c>
      <c r="J444" s="5">
        <v>437</v>
      </c>
      <c r="N444" s="10">
        <f t="shared" ref="N444" si="669">Q441</f>
        <v>1.8410970584500788</v>
      </c>
      <c r="O444">
        <f t="shared" si="589"/>
        <v>0</v>
      </c>
      <c r="P444">
        <f t="shared" ref="P444:P475" si="670">(O443-O445)/(N443-N445)</f>
        <v>4.225348534256625</v>
      </c>
      <c r="Q444" s="10">
        <f t="shared" ref="Q444" si="671">N444-O444/P444</f>
        <v>1.8410970584500788</v>
      </c>
      <c r="R444">
        <v>146</v>
      </c>
      <c r="S444">
        <f t="shared" ref="S444:S475" si="672">N444</f>
        <v>1.8410970584500788</v>
      </c>
    </row>
    <row r="445" spans="1:19" x14ac:dyDescent="0.2">
      <c r="A445" t="e">
        <f t="shared" si="594"/>
        <v>#NUM!</v>
      </c>
      <c r="B445" t="e">
        <f t="shared" si="595"/>
        <v>#NUM!</v>
      </c>
      <c r="C445" t="e">
        <f t="shared" si="596"/>
        <v>#NUM!</v>
      </c>
      <c r="D445" t="e">
        <f t="shared" si="597"/>
        <v>#NUM!</v>
      </c>
      <c r="E445" t="e">
        <f t="shared" si="598"/>
        <v>#NUM!</v>
      </c>
      <c r="F445" t="e">
        <f t="shared" si="599"/>
        <v>#NUM!</v>
      </c>
      <c r="G445" t="e">
        <f t="shared" si="600"/>
        <v>#NUM!</v>
      </c>
      <c r="H445" s="5" t="e">
        <f t="shared" si="601"/>
        <v>#NUM!</v>
      </c>
      <c r="I445" s="5" t="e">
        <f t="shared" si="602"/>
        <v>#NUM!</v>
      </c>
      <c r="J445" s="5">
        <v>438</v>
      </c>
      <c r="N445">
        <f t="shared" si="624"/>
        <v>1.8411070585500797</v>
      </c>
      <c r="O445">
        <f t="shared" si="589"/>
        <v>4.2253993131957657E-5</v>
      </c>
    </row>
    <row r="446" spans="1:19" x14ac:dyDescent="0.2">
      <c r="A446" t="e">
        <f t="shared" si="594"/>
        <v>#NUM!</v>
      </c>
      <c r="B446" t="e">
        <f t="shared" si="595"/>
        <v>#NUM!</v>
      </c>
      <c r="C446" t="e">
        <f t="shared" si="596"/>
        <v>#NUM!</v>
      </c>
      <c r="D446" t="e">
        <f t="shared" si="597"/>
        <v>#NUM!</v>
      </c>
      <c r="E446" t="e">
        <f t="shared" si="598"/>
        <v>#NUM!</v>
      </c>
      <c r="F446" t="e">
        <f t="shared" si="599"/>
        <v>#NUM!</v>
      </c>
      <c r="G446" t="e">
        <f t="shared" si="600"/>
        <v>#NUM!</v>
      </c>
      <c r="H446" s="5" t="e">
        <f t="shared" si="601"/>
        <v>#NUM!</v>
      </c>
      <c r="I446" s="5" t="e">
        <f t="shared" si="602"/>
        <v>#NUM!</v>
      </c>
      <c r="J446" s="5">
        <v>439</v>
      </c>
      <c r="N446">
        <f t="shared" si="619"/>
        <v>1.8410870583500778</v>
      </c>
      <c r="O446">
        <f t="shared" si="589"/>
        <v>-4.2253822631010962E-5</v>
      </c>
    </row>
    <row r="447" spans="1:19" x14ac:dyDescent="0.2">
      <c r="A447" t="e">
        <f t="shared" si="594"/>
        <v>#NUM!</v>
      </c>
      <c r="B447" t="e">
        <f t="shared" si="595"/>
        <v>#NUM!</v>
      </c>
      <c r="C447" t="e">
        <f t="shared" si="596"/>
        <v>#NUM!</v>
      </c>
      <c r="D447" t="e">
        <f t="shared" si="597"/>
        <v>#NUM!</v>
      </c>
      <c r="E447" t="e">
        <f t="shared" si="598"/>
        <v>#NUM!</v>
      </c>
      <c r="F447" t="e">
        <f t="shared" si="599"/>
        <v>#NUM!</v>
      </c>
      <c r="G447" t="e">
        <f t="shared" si="600"/>
        <v>#NUM!</v>
      </c>
      <c r="H447" s="5" t="e">
        <f t="shared" si="601"/>
        <v>#NUM!</v>
      </c>
      <c r="I447" s="5" t="e">
        <f t="shared" si="602"/>
        <v>#NUM!</v>
      </c>
      <c r="J447" s="5">
        <v>440</v>
      </c>
      <c r="N447" s="10">
        <f t="shared" ref="N447" si="673">Q444</f>
        <v>1.8410970584500788</v>
      </c>
      <c r="O447">
        <f t="shared" si="589"/>
        <v>0</v>
      </c>
      <c r="P447">
        <f t="shared" ref="P447:P478" si="674">(O446-O448)/(N446-N448)</f>
        <v>4.225348534256625</v>
      </c>
      <c r="Q447" s="10">
        <f t="shared" ref="Q447" si="675">N447-O447/P447</f>
        <v>1.8410970584500788</v>
      </c>
      <c r="R447">
        <v>147</v>
      </c>
      <c r="S447">
        <f t="shared" ref="S447:S478" si="676">N447</f>
        <v>1.8410970584500788</v>
      </c>
    </row>
    <row r="448" spans="1:19" x14ac:dyDescent="0.2">
      <c r="A448" t="e">
        <f t="shared" si="594"/>
        <v>#NUM!</v>
      </c>
      <c r="B448" t="e">
        <f t="shared" si="595"/>
        <v>#NUM!</v>
      </c>
      <c r="C448" t="e">
        <f t="shared" si="596"/>
        <v>#NUM!</v>
      </c>
      <c r="D448" t="e">
        <f t="shared" si="597"/>
        <v>#NUM!</v>
      </c>
      <c r="E448" t="e">
        <f t="shared" si="598"/>
        <v>#NUM!</v>
      </c>
      <c r="F448" t="e">
        <f t="shared" si="599"/>
        <v>#NUM!</v>
      </c>
      <c r="G448" t="e">
        <f t="shared" si="600"/>
        <v>#NUM!</v>
      </c>
      <c r="H448" s="5" t="e">
        <f t="shared" si="601"/>
        <v>#NUM!</v>
      </c>
      <c r="I448" s="5" t="e">
        <f t="shared" si="602"/>
        <v>#NUM!</v>
      </c>
      <c r="J448" s="5">
        <v>441</v>
      </c>
      <c r="N448">
        <f t="shared" si="624"/>
        <v>1.8411070585500797</v>
      </c>
      <c r="O448">
        <f t="shared" si="589"/>
        <v>4.2253993131957657E-5</v>
      </c>
    </row>
    <row r="449" spans="1:19" x14ac:dyDescent="0.2">
      <c r="A449" t="e">
        <f t="shared" si="594"/>
        <v>#NUM!</v>
      </c>
      <c r="B449" t="e">
        <f t="shared" si="595"/>
        <v>#NUM!</v>
      </c>
      <c r="C449" t="e">
        <f t="shared" si="596"/>
        <v>#NUM!</v>
      </c>
      <c r="D449" t="e">
        <f t="shared" si="597"/>
        <v>#NUM!</v>
      </c>
      <c r="E449" t="e">
        <f t="shared" si="598"/>
        <v>#NUM!</v>
      </c>
      <c r="F449" t="e">
        <f t="shared" si="599"/>
        <v>#NUM!</v>
      </c>
      <c r="G449" t="e">
        <f t="shared" si="600"/>
        <v>#NUM!</v>
      </c>
      <c r="H449" s="5" t="e">
        <f t="shared" si="601"/>
        <v>#NUM!</v>
      </c>
      <c r="I449" s="5" t="e">
        <f t="shared" si="602"/>
        <v>#NUM!</v>
      </c>
      <c r="J449" s="5">
        <v>442</v>
      </c>
      <c r="N449">
        <f t="shared" si="619"/>
        <v>1.8410870583500778</v>
      </c>
      <c r="O449">
        <f t="shared" si="589"/>
        <v>-4.2253822631010962E-5</v>
      </c>
    </row>
    <row r="450" spans="1:19" x14ac:dyDescent="0.2">
      <c r="A450" t="e">
        <f t="shared" si="594"/>
        <v>#NUM!</v>
      </c>
      <c r="B450" t="e">
        <f t="shared" si="595"/>
        <v>#NUM!</v>
      </c>
      <c r="C450" t="e">
        <f t="shared" si="596"/>
        <v>#NUM!</v>
      </c>
      <c r="D450" t="e">
        <f t="shared" si="597"/>
        <v>#NUM!</v>
      </c>
      <c r="E450" t="e">
        <f t="shared" si="598"/>
        <v>#NUM!</v>
      </c>
      <c r="F450" t="e">
        <f t="shared" si="599"/>
        <v>#NUM!</v>
      </c>
      <c r="G450" t="e">
        <f t="shared" si="600"/>
        <v>#NUM!</v>
      </c>
      <c r="H450" s="5" t="e">
        <f t="shared" si="601"/>
        <v>#NUM!</v>
      </c>
      <c r="I450" s="5" t="e">
        <f t="shared" si="602"/>
        <v>#NUM!</v>
      </c>
      <c r="J450" s="5">
        <v>443</v>
      </c>
      <c r="N450" s="10">
        <f t="shared" ref="N450" si="677">Q447</f>
        <v>1.8410970584500788</v>
      </c>
      <c r="O450">
        <f t="shared" si="589"/>
        <v>0</v>
      </c>
      <c r="P450">
        <f t="shared" ref="P450:P481" si="678">(O449-O451)/(N449-N451)</f>
        <v>4.225348534256625</v>
      </c>
      <c r="Q450" s="10">
        <f t="shared" ref="Q450" si="679">N450-O450/P450</f>
        <v>1.8410970584500788</v>
      </c>
      <c r="R450">
        <v>148</v>
      </c>
      <c r="S450">
        <f t="shared" ref="S450:S481" si="680">N450</f>
        <v>1.8410970584500788</v>
      </c>
    </row>
    <row r="451" spans="1:19" x14ac:dyDescent="0.2">
      <c r="A451" t="e">
        <f t="shared" si="594"/>
        <v>#NUM!</v>
      </c>
      <c r="B451" t="e">
        <f t="shared" si="595"/>
        <v>#NUM!</v>
      </c>
      <c r="C451" t="e">
        <f t="shared" si="596"/>
        <v>#NUM!</v>
      </c>
      <c r="D451" t="e">
        <f t="shared" si="597"/>
        <v>#NUM!</v>
      </c>
      <c r="E451" t="e">
        <f t="shared" si="598"/>
        <v>#NUM!</v>
      </c>
      <c r="F451" t="e">
        <f t="shared" si="599"/>
        <v>#NUM!</v>
      </c>
      <c r="G451" t="e">
        <f t="shared" si="600"/>
        <v>#NUM!</v>
      </c>
      <c r="H451" s="5" t="e">
        <f t="shared" si="601"/>
        <v>#NUM!</v>
      </c>
      <c r="I451" s="5" t="e">
        <f t="shared" si="602"/>
        <v>#NUM!</v>
      </c>
      <c r="J451" s="5">
        <v>444</v>
      </c>
      <c r="N451">
        <f t="shared" si="624"/>
        <v>1.8411070585500797</v>
      </c>
      <c r="O451">
        <f t="shared" si="589"/>
        <v>4.2253993131957657E-5</v>
      </c>
    </row>
    <row r="452" spans="1:19" x14ac:dyDescent="0.2">
      <c r="A452" t="e">
        <f t="shared" si="594"/>
        <v>#NUM!</v>
      </c>
      <c r="B452" t="e">
        <f t="shared" si="595"/>
        <v>#NUM!</v>
      </c>
      <c r="C452" t="e">
        <f t="shared" si="596"/>
        <v>#NUM!</v>
      </c>
      <c r="D452" t="e">
        <f t="shared" si="597"/>
        <v>#NUM!</v>
      </c>
      <c r="E452" t="e">
        <f t="shared" si="598"/>
        <v>#NUM!</v>
      </c>
      <c r="F452" t="e">
        <f t="shared" si="599"/>
        <v>#NUM!</v>
      </c>
      <c r="G452" t="e">
        <f t="shared" si="600"/>
        <v>#NUM!</v>
      </c>
      <c r="H452" s="5" t="e">
        <f t="shared" si="601"/>
        <v>#NUM!</v>
      </c>
      <c r="I452" s="5" t="e">
        <f t="shared" si="602"/>
        <v>#NUM!</v>
      </c>
      <c r="J452" s="5">
        <v>445</v>
      </c>
      <c r="N452">
        <f t="shared" si="619"/>
        <v>1.8410870583500778</v>
      </c>
      <c r="O452">
        <f t="shared" si="589"/>
        <v>-4.2253822631010962E-5</v>
      </c>
    </row>
    <row r="453" spans="1:19" x14ac:dyDescent="0.2">
      <c r="A453" t="e">
        <f t="shared" si="594"/>
        <v>#NUM!</v>
      </c>
      <c r="B453" t="e">
        <f t="shared" si="595"/>
        <v>#NUM!</v>
      </c>
      <c r="C453" t="e">
        <f t="shared" si="596"/>
        <v>#NUM!</v>
      </c>
      <c r="D453" t="e">
        <f t="shared" si="597"/>
        <v>#NUM!</v>
      </c>
      <c r="E453" t="e">
        <f t="shared" si="598"/>
        <v>#NUM!</v>
      </c>
      <c r="F453" t="e">
        <f t="shared" si="599"/>
        <v>#NUM!</v>
      </c>
      <c r="G453" t="e">
        <f t="shared" si="600"/>
        <v>#NUM!</v>
      </c>
      <c r="H453" s="5" t="e">
        <f t="shared" si="601"/>
        <v>#NUM!</v>
      </c>
      <c r="I453" s="5" t="e">
        <f t="shared" si="602"/>
        <v>#NUM!</v>
      </c>
      <c r="J453" s="5">
        <v>446</v>
      </c>
      <c r="N453" s="10">
        <f t="shared" ref="N453" si="681">Q450</f>
        <v>1.8410970584500788</v>
      </c>
      <c r="O453">
        <f t="shared" si="589"/>
        <v>0</v>
      </c>
      <c r="P453">
        <f t="shared" ref="P453:P500" si="682">(O452-O454)/(N452-N454)</f>
        <v>4.225348534256625</v>
      </c>
      <c r="Q453" s="10">
        <f t="shared" ref="Q453" si="683">N453-O453/P453</f>
        <v>1.8410970584500788</v>
      </c>
      <c r="R453">
        <v>149</v>
      </c>
      <c r="S453">
        <f t="shared" ref="S453:S500" si="684">N453</f>
        <v>1.8410970584500788</v>
      </c>
    </row>
    <row r="454" spans="1:19" x14ac:dyDescent="0.2">
      <c r="A454" t="e">
        <f t="shared" si="594"/>
        <v>#NUM!</v>
      </c>
      <c r="B454" t="e">
        <f t="shared" si="595"/>
        <v>#NUM!</v>
      </c>
      <c r="C454" t="e">
        <f t="shared" si="596"/>
        <v>#NUM!</v>
      </c>
      <c r="D454" t="e">
        <f t="shared" si="597"/>
        <v>#NUM!</v>
      </c>
      <c r="E454" t="e">
        <f t="shared" si="598"/>
        <v>#NUM!</v>
      </c>
      <c r="F454" t="e">
        <f t="shared" si="599"/>
        <v>#NUM!</v>
      </c>
      <c r="G454" t="e">
        <f t="shared" si="600"/>
        <v>#NUM!</v>
      </c>
      <c r="H454" s="5" t="e">
        <f t="shared" si="601"/>
        <v>#NUM!</v>
      </c>
      <c r="I454" s="5" t="e">
        <f t="shared" si="602"/>
        <v>#NUM!</v>
      </c>
      <c r="J454" s="5">
        <v>447</v>
      </c>
      <c r="N454">
        <f t="shared" si="624"/>
        <v>1.8411070585500797</v>
      </c>
      <c r="O454">
        <f t="shared" si="589"/>
        <v>4.2253993131957657E-5</v>
      </c>
    </row>
    <row r="455" spans="1:19" x14ac:dyDescent="0.2">
      <c r="A455" t="e">
        <f t="shared" si="594"/>
        <v>#NUM!</v>
      </c>
      <c r="B455" t="e">
        <f t="shared" si="595"/>
        <v>#NUM!</v>
      </c>
      <c r="C455" t="e">
        <f t="shared" si="596"/>
        <v>#NUM!</v>
      </c>
      <c r="D455" t="e">
        <f t="shared" si="597"/>
        <v>#NUM!</v>
      </c>
      <c r="E455" t="e">
        <f t="shared" si="598"/>
        <v>#NUM!</v>
      </c>
      <c r="F455" t="e">
        <f t="shared" si="599"/>
        <v>#NUM!</v>
      </c>
      <c r="G455" t="e">
        <f t="shared" si="600"/>
        <v>#NUM!</v>
      </c>
      <c r="H455" s="5" t="e">
        <f t="shared" si="601"/>
        <v>#NUM!</v>
      </c>
      <c r="I455" s="5" t="e">
        <f t="shared" si="602"/>
        <v>#NUM!</v>
      </c>
      <c r="J455" s="5">
        <v>448</v>
      </c>
      <c r="N455">
        <f t="shared" si="619"/>
        <v>1.8410870583500778</v>
      </c>
      <c r="O455">
        <f t="shared" si="589"/>
        <v>-4.2253822631010962E-5</v>
      </c>
    </row>
    <row r="456" spans="1:19" x14ac:dyDescent="0.2">
      <c r="A456" t="e">
        <f t="shared" si="594"/>
        <v>#NUM!</v>
      </c>
      <c r="B456" t="e">
        <f t="shared" si="595"/>
        <v>#NUM!</v>
      </c>
      <c r="C456" t="e">
        <f t="shared" si="596"/>
        <v>#NUM!</v>
      </c>
      <c r="D456" t="e">
        <f t="shared" si="597"/>
        <v>#NUM!</v>
      </c>
      <c r="E456" t="e">
        <f t="shared" si="598"/>
        <v>#NUM!</v>
      </c>
      <c r="F456" t="e">
        <f t="shared" si="599"/>
        <v>#NUM!</v>
      </c>
      <c r="G456" t="e">
        <f t="shared" si="600"/>
        <v>#NUM!</v>
      </c>
      <c r="H456" s="5" t="e">
        <f t="shared" si="601"/>
        <v>#NUM!</v>
      </c>
      <c r="I456" s="5" t="e">
        <f t="shared" si="602"/>
        <v>#NUM!</v>
      </c>
      <c r="J456" s="5">
        <v>449</v>
      </c>
      <c r="N456" s="10">
        <f t="shared" ref="N456" si="685">Q453</f>
        <v>1.8410970584500788</v>
      </c>
      <c r="O456">
        <f t="shared" ref="O456:O500" si="686">N456*N456+LN(N456)-4</f>
        <v>0</v>
      </c>
      <c r="P456">
        <f t="shared" ref="P456:P500" si="687">(O455-O457)/(N455-N457)</f>
        <v>4.225348534256625</v>
      </c>
      <c r="Q456" s="10">
        <f t="shared" ref="Q456" si="688">N456-O456/P456</f>
        <v>1.8410970584500788</v>
      </c>
      <c r="R456">
        <v>150</v>
      </c>
      <c r="S456">
        <f t="shared" ref="S456:S500" si="689">N456</f>
        <v>1.8410970584500788</v>
      </c>
    </row>
    <row r="457" spans="1:19" x14ac:dyDescent="0.2">
      <c r="A457" t="e">
        <f t="shared" si="594"/>
        <v>#NUM!</v>
      </c>
      <c r="B457" t="e">
        <f t="shared" si="595"/>
        <v>#NUM!</v>
      </c>
      <c r="C457" t="e">
        <f t="shared" si="596"/>
        <v>#NUM!</v>
      </c>
      <c r="D457" t="e">
        <f t="shared" si="597"/>
        <v>#NUM!</v>
      </c>
      <c r="E457" t="e">
        <f t="shared" si="598"/>
        <v>#NUM!</v>
      </c>
      <c r="F457" t="e">
        <f t="shared" si="599"/>
        <v>#NUM!</v>
      </c>
      <c r="G457" t="e">
        <f t="shared" si="600"/>
        <v>#NUM!</v>
      </c>
      <c r="H457" s="5" t="e">
        <f t="shared" si="601"/>
        <v>#NUM!</v>
      </c>
      <c r="I457" s="5" t="e">
        <f t="shared" si="602"/>
        <v>#NUM!</v>
      </c>
      <c r="J457" s="5">
        <v>450</v>
      </c>
      <c r="N457">
        <f t="shared" si="624"/>
        <v>1.8411070585500797</v>
      </c>
      <c r="O457">
        <f t="shared" si="686"/>
        <v>4.2253993131957657E-5</v>
      </c>
    </row>
    <row r="458" spans="1:19" x14ac:dyDescent="0.2">
      <c r="A458" t="e">
        <f t="shared" ref="A458:A500" si="690">IF(B457*F457&lt;0, MIN(A457,E457), IF(D457*F457&lt;0, MIN(C457,E457)))</f>
        <v>#NUM!</v>
      </c>
      <c r="B458" t="e">
        <f t="shared" ref="B458:B500" si="691">A458*A458+LN(A458)-4</f>
        <v>#NUM!</v>
      </c>
      <c r="C458" t="e">
        <f t="shared" ref="C458:C500" si="692">IF(B457*F457&lt;0, MAX(A457,E457), IF(D457*F457&lt;0, MAX(C457,E457)))</f>
        <v>#NUM!</v>
      </c>
      <c r="D458" t="e">
        <f t="shared" ref="D458:D500" si="693">C458*C458+LN(C458)-4</f>
        <v>#NUM!</v>
      </c>
      <c r="E458" t="e">
        <f t="shared" ref="E458:E500" si="694">(A458+C458)/2</f>
        <v>#NUM!</v>
      </c>
      <c r="F458" t="e">
        <f t="shared" ref="F458:F500" si="695">E458*E458+LN(E458)-4</f>
        <v>#NUM!</v>
      </c>
      <c r="G458" t="e">
        <f t="shared" ref="G458:G500" si="696">ABS(A458-C458)</f>
        <v>#NUM!</v>
      </c>
      <c r="H458" s="5" t="e">
        <f t="shared" ref="H458:H500" si="697">IF(A458=FALSE(), 999, F458)</f>
        <v>#NUM!</v>
      </c>
      <c r="I458" s="5" t="e">
        <f t="shared" ref="I458:I500" si="698">E458</f>
        <v>#NUM!</v>
      </c>
      <c r="J458" s="5">
        <v>451</v>
      </c>
      <c r="N458">
        <f t="shared" si="619"/>
        <v>1.8410870583500778</v>
      </c>
      <c r="O458">
        <f t="shared" si="686"/>
        <v>-4.2253822631010962E-5</v>
      </c>
    </row>
    <row r="459" spans="1:19" x14ac:dyDescent="0.2">
      <c r="A459" t="e">
        <f t="shared" si="690"/>
        <v>#NUM!</v>
      </c>
      <c r="B459" t="e">
        <f t="shared" si="691"/>
        <v>#NUM!</v>
      </c>
      <c r="C459" t="e">
        <f t="shared" si="692"/>
        <v>#NUM!</v>
      </c>
      <c r="D459" t="e">
        <f t="shared" si="693"/>
        <v>#NUM!</v>
      </c>
      <c r="E459" t="e">
        <f t="shared" si="694"/>
        <v>#NUM!</v>
      </c>
      <c r="F459" t="e">
        <f t="shared" si="695"/>
        <v>#NUM!</v>
      </c>
      <c r="G459" t="e">
        <f t="shared" si="696"/>
        <v>#NUM!</v>
      </c>
      <c r="H459" s="5" t="e">
        <f t="shared" si="697"/>
        <v>#NUM!</v>
      </c>
      <c r="I459" s="5" t="e">
        <f t="shared" si="698"/>
        <v>#NUM!</v>
      </c>
      <c r="J459" s="5">
        <v>452</v>
      </c>
      <c r="N459" s="10">
        <f t="shared" ref="N459" si="699">Q456</f>
        <v>1.8410970584500788</v>
      </c>
      <c r="O459">
        <f t="shared" si="686"/>
        <v>0</v>
      </c>
      <c r="P459">
        <f t="shared" ref="P459:P500" si="700">(O458-O460)/(N458-N460)</f>
        <v>4.225348534256625</v>
      </c>
      <c r="Q459" s="10">
        <f t="shared" ref="Q459" si="701">N459-O459/P459</f>
        <v>1.8410970584500788</v>
      </c>
      <c r="R459">
        <v>151</v>
      </c>
      <c r="S459">
        <f t="shared" ref="S459:S500" si="702">N459</f>
        <v>1.8410970584500788</v>
      </c>
    </row>
    <row r="460" spans="1:19" x14ac:dyDescent="0.2">
      <c r="A460" t="e">
        <f t="shared" si="690"/>
        <v>#NUM!</v>
      </c>
      <c r="B460" t="e">
        <f t="shared" si="691"/>
        <v>#NUM!</v>
      </c>
      <c r="C460" t="e">
        <f t="shared" si="692"/>
        <v>#NUM!</v>
      </c>
      <c r="D460" t="e">
        <f t="shared" si="693"/>
        <v>#NUM!</v>
      </c>
      <c r="E460" t="e">
        <f t="shared" si="694"/>
        <v>#NUM!</v>
      </c>
      <c r="F460" t="e">
        <f t="shared" si="695"/>
        <v>#NUM!</v>
      </c>
      <c r="G460" t="e">
        <f t="shared" si="696"/>
        <v>#NUM!</v>
      </c>
      <c r="H460" s="5" t="e">
        <f t="shared" si="697"/>
        <v>#NUM!</v>
      </c>
      <c r="I460" s="5" t="e">
        <f t="shared" si="698"/>
        <v>#NUM!</v>
      </c>
      <c r="J460" s="5">
        <v>453</v>
      </c>
      <c r="N460">
        <f t="shared" si="624"/>
        <v>1.8411070585500797</v>
      </c>
      <c r="O460">
        <f t="shared" si="686"/>
        <v>4.2253993131957657E-5</v>
      </c>
    </row>
    <row r="461" spans="1:19" x14ac:dyDescent="0.2">
      <c r="A461" t="e">
        <f t="shared" si="690"/>
        <v>#NUM!</v>
      </c>
      <c r="B461" t="e">
        <f t="shared" si="691"/>
        <v>#NUM!</v>
      </c>
      <c r="C461" t="e">
        <f t="shared" si="692"/>
        <v>#NUM!</v>
      </c>
      <c r="D461" t="e">
        <f t="shared" si="693"/>
        <v>#NUM!</v>
      </c>
      <c r="E461" t="e">
        <f t="shared" si="694"/>
        <v>#NUM!</v>
      </c>
      <c r="F461" t="e">
        <f t="shared" si="695"/>
        <v>#NUM!</v>
      </c>
      <c r="G461" t="e">
        <f t="shared" si="696"/>
        <v>#NUM!</v>
      </c>
      <c r="H461" s="5" t="e">
        <f t="shared" si="697"/>
        <v>#NUM!</v>
      </c>
      <c r="I461" s="5" t="e">
        <f t="shared" si="698"/>
        <v>#NUM!</v>
      </c>
      <c r="J461" s="5">
        <v>454</v>
      </c>
      <c r="N461">
        <f t="shared" si="619"/>
        <v>1.8410870583500778</v>
      </c>
      <c r="O461">
        <f t="shared" si="686"/>
        <v>-4.2253822631010962E-5</v>
      </c>
    </row>
    <row r="462" spans="1:19" x14ac:dyDescent="0.2">
      <c r="A462" t="e">
        <f t="shared" si="690"/>
        <v>#NUM!</v>
      </c>
      <c r="B462" t="e">
        <f t="shared" si="691"/>
        <v>#NUM!</v>
      </c>
      <c r="C462" t="e">
        <f t="shared" si="692"/>
        <v>#NUM!</v>
      </c>
      <c r="D462" t="e">
        <f t="shared" si="693"/>
        <v>#NUM!</v>
      </c>
      <c r="E462" t="e">
        <f t="shared" si="694"/>
        <v>#NUM!</v>
      </c>
      <c r="F462" t="e">
        <f t="shared" si="695"/>
        <v>#NUM!</v>
      </c>
      <c r="G462" t="e">
        <f t="shared" si="696"/>
        <v>#NUM!</v>
      </c>
      <c r="H462" s="5" t="e">
        <f t="shared" si="697"/>
        <v>#NUM!</v>
      </c>
      <c r="I462" s="5" t="e">
        <f t="shared" si="698"/>
        <v>#NUM!</v>
      </c>
      <c r="J462" s="5">
        <v>455</v>
      </c>
      <c r="N462" s="10">
        <f t="shared" ref="N462" si="703">Q459</f>
        <v>1.8410970584500788</v>
      </c>
      <c r="O462">
        <f t="shared" si="686"/>
        <v>0</v>
      </c>
      <c r="P462">
        <f t="shared" ref="P462:P500" si="704">(O461-O463)/(N461-N463)</f>
        <v>4.225348534256625</v>
      </c>
      <c r="Q462" s="10">
        <f t="shared" ref="Q462" si="705">N462-O462/P462</f>
        <v>1.8410970584500788</v>
      </c>
      <c r="R462">
        <v>152</v>
      </c>
      <c r="S462">
        <f t="shared" ref="S462:S500" si="706">N462</f>
        <v>1.8410970584500788</v>
      </c>
    </row>
    <row r="463" spans="1:19" x14ac:dyDescent="0.2">
      <c r="A463" t="e">
        <f t="shared" si="690"/>
        <v>#NUM!</v>
      </c>
      <c r="B463" t="e">
        <f t="shared" si="691"/>
        <v>#NUM!</v>
      </c>
      <c r="C463" t="e">
        <f t="shared" si="692"/>
        <v>#NUM!</v>
      </c>
      <c r="D463" t="e">
        <f t="shared" si="693"/>
        <v>#NUM!</v>
      </c>
      <c r="E463" t="e">
        <f t="shared" si="694"/>
        <v>#NUM!</v>
      </c>
      <c r="F463" t="e">
        <f t="shared" si="695"/>
        <v>#NUM!</v>
      </c>
      <c r="G463" t="e">
        <f t="shared" si="696"/>
        <v>#NUM!</v>
      </c>
      <c r="H463" s="5" t="e">
        <f t="shared" si="697"/>
        <v>#NUM!</v>
      </c>
      <c r="I463" s="5" t="e">
        <f t="shared" si="698"/>
        <v>#NUM!</v>
      </c>
      <c r="J463" s="5">
        <v>456</v>
      </c>
      <c r="N463">
        <f t="shared" si="624"/>
        <v>1.8411070585500797</v>
      </c>
      <c r="O463">
        <f t="shared" si="686"/>
        <v>4.2253993131957657E-5</v>
      </c>
    </row>
    <row r="464" spans="1:19" x14ac:dyDescent="0.2">
      <c r="A464" t="e">
        <f t="shared" si="690"/>
        <v>#NUM!</v>
      </c>
      <c r="B464" t="e">
        <f t="shared" si="691"/>
        <v>#NUM!</v>
      </c>
      <c r="C464" t="e">
        <f t="shared" si="692"/>
        <v>#NUM!</v>
      </c>
      <c r="D464" t="e">
        <f t="shared" si="693"/>
        <v>#NUM!</v>
      </c>
      <c r="E464" t="e">
        <f t="shared" si="694"/>
        <v>#NUM!</v>
      </c>
      <c r="F464" t="e">
        <f t="shared" si="695"/>
        <v>#NUM!</v>
      </c>
      <c r="G464" t="e">
        <f t="shared" si="696"/>
        <v>#NUM!</v>
      </c>
      <c r="H464" s="5" t="e">
        <f t="shared" si="697"/>
        <v>#NUM!</v>
      </c>
      <c r="I464" s="5" t="e">
        <f t="shared" si="698"/>
        <v>#NUM!</v>
      </c>
      <c r="J464" s="5">
        <v>457</v>
      </c>
      <c r="N464">
        <f t="shared" si="619"/>
        <v>1.8410870583500778</v>
      </c>
      <c r="O464">
        <f t="shared" si="686"/>
        <v>-4.2253822631010962E-5</v>
      </c>
    </row>
    <row r="465" spans="1:19" x14ac:dyDescent="0.2">
      <c r="A465" t="e">
        <f t="shared" si="690"/>
        <v>#NUM!</v>
      </c>
      <c r="B465" t="e">
        <f t="shared" si="691"/>
        <v>#NUM!</v>
      </c>
      <c r="C465" t="e">
        <f t="shared" si="692"/>
        <v>#NUM!</v>
      </c>
      <c r="D465" t="e">
        <f t="shared" si="693"/>
        <v>#NUM!</v>
      </c>
      <c r="E465" t="e">
        <f t="shared" si="694"/>
        <v>#NUM!</v>
      </c>
      <c r="F465" t="e">
        <f t="shared" si="695"/>
        <v>#NUM!</v>
      </c>
      <c r="G465" t="e">
        <f t="shared" si="696"/>
        <v>#NUM!</v>
      </c>
      <c r="H465" s="5" t="e">
        <f t="shared" si="697"/>
        <v>#NUM!</v>
      </c>
      <c r="I465" s="5" t="e">
        <f t="shared" si="698"/>
        <v>#NUM!</v>
      </c>
      <c r="J465" s="5">
        <v>458</v>
      </c>
      <c r="N465" s="10">
        <f t="shared" ref="N465" si="707">Q462</f>
        <v>1.8410970584500788</v>
      </c>
      <c r="O465">
        <f t="shared" si="686"/>
        <v>0</v>
      </c>
      <c r="P465">
        <f t="shared" ref="P465:P500" si="708">(O464-O466)/(N464-N466)</f>
        <v>4.225348534256625</v>
      </c>
      <c r="Q465" s="10">
        <f t="shared" ref="Q465" si="709">N465-O465/P465</f>
        <v>1.8410970584500788</v>
      </c>
      <c r="R465">
        <v>153</v>
      </c>
      <c r="S465">
        <f t="shared" ref="S465:S500" si="710">N465</f>
        <v>1.8410970584500788</v>
      </c>
    </row>
    <row r="466" spans="1:19" x14ac:dyDescent="0.2">
      <c r="A466" t="e">
        <f t="shared" si="690"/>
        <v>#NUM!</v>
      </c>
      <c r="B466" t="e">
        <f t="shared" si="691"/>
        <v>#NUM!</v>
      </c>
      <c r="C466" t="e">
        <f t="shared" si="692"/>
        <v>#NUM!</v>
      </c>
      <c r="D466" t="e">
        <f t="shared" si="693"/>
        <v>#NUM!</v>
      </c>
      <c r="E466" t="e">
        <f t="shared" si="694"/>
        <v>#NUM!</v>
      </c>
      <c r="F466" t="e">
        <f t="shared" si="695"/>
        <v>#NUM!</v>
      </c>
      <c r="G466" t="e">
        <f t="shared" si="696"/>
        <v>#NUM!</v>
      </c>
      <c r="H466" s="5" t="e">
        <f t="shared" si="697"/>
        <v>#NUM!</v>
      </c>
      <c r="I466" s="5" t="e">
        <f t="shared" si="698"/>
        <v>#NUM!</v>
      </c>
      <c r="J466" s="5">
        <v>459</v>
      </c>
      <c r="N466">
        <f t="shared" si="624"/>
        <v>1.8411070585500797</v>
      </c>
      <c r="O466">
        <f t="shared" si="686"/>
        <v>4.2253993131957657E-5</v>
      </c>
    </row>
    <row r="467" spans="1:19" x14ac:dyDescent="0.2">
      <c r="A467" t="e">
        <f t="shared" si="690"/>
        <v>#NUM!</v>
      </c>
      <c r="B467" t="e">
        <f t="shared" si="691"/>
        <v>#NUM!</v>
      </c>
      <c r="C467" t="e">
        <f t="shared" si="692"/>
        <v>#NUM!</v>
      </c>
      <c r="D467" t="e">
        <f t="shared" si="693"/>
        <v>#NUM!</v>
      </c>
      <c r="E467" t="e">
        <f t="shared" si="694"/>
        <v>#NUM!</v>
      </c>
      <c r="F467" t="e">
        <f t="shared" si="695"/>
        <v>#NUM!</v>
      </c>
      <c r="G467" t="e">
        <f t="shared" si="696"/>
        <v>#NUM!</v>
      </c>
      <c r="H467" s="5" t="e">
        <f t="shared" si="697"/>
        <v>#NUM!</v>
      </c>
      <c r="I467" s="5" t="e">
        <f t="shared" si="698"/>
        <v>#NUM!</v>
      </c>
      <c r="J467" s="5">
        <v>460</v>
      </c>
      <c r="N467">
        <f t="shared" si="619"/>
        <v>1.8410870583500778</v>
      </c>
      <c r="O467">
        <f t="shared" si="686"/>
        <v>-4.2253822631010962E-5</v>
      </c>
    </row>
    <row r="468" spans="1:19" x14ac:dyDescent="0.2">
      <c r="A468" t="e">
        <f t="shared" si="690"/>
        <v>#NUM!</v>
      </c>
      <c r="B468" t="e">
        <f t="shared" si="691"/>
        <v>#NUM!</v>
      </c>
      <c r="C468" t="e">
        <f t="shared" si="692"/>
        <v>#NUM!</v>
      </c>
      <c r="D468" t="e">
        <f t="shared" si="693"/>
        <v>#NUM!</v>
      </c>
      <c r="E468" t="e">
        <f t="shared" si="694"/>
        <v>#NUM!</v>
      </c>
      <c r="F468" t="e">
        <f t="shared" si="695"/>
        <v>#NUM!</v>
      </c>
      <c r="G468" t="e">
        <f t="shared" si="696"/>
        <v>#NUM!</v>
      </c>
      <c r="H468" s="5" t="e">
        <f t="shared" si="697"/>
        <v>#NUM!</v>
      </c>
      <c r="I468" s="5" t="e">
        <f t="shared" si="698"/>
        <v>#NUM!</v>
      </c>
      <c r="J468" s="5">
        <v>461</v>
      </c>
      <c r="N468" s="10">
        <f t="shared" ref="N468" si="711">Q465</f>
        <v>1.8410970584500788</v>
      </c>
      <c r="O468">
        <f t="shared" si="686"/>
        <v>0</v>
      </c>
      <c r="P468">
        <f t="shared" ref="P468:P500" si="712">(O467-O469)/(N467-N469)</f>
        <v>4.225348534256625</v>
      </c>
      <c r="Q468" s="10">
        <f t="shared" ref="Q468" si="713">N468-O468/P468</f>
        <v>1.8410970584500788</v>
      </c>
      <c r="R468">
        <v>154</v>
      </c>
      <c r="S468">
        <f t="shared" ref="S468:S500" si="714">N468</f>
        <v>1.8410970584500788</v>
      </c>
    </row>
    <row r="469" spans="1:19" x14ac:dyDescent="0.2">
      <c r="A469" t="e">
        <f t="shared" si="690"/>
        <v>#NUM!</v>
      </c>
      <c r="B469" t="e">
        <f t="shared" si="691"/>
        <v>#NUM!</v>
      </c>
      <c r="C469" t="e">
        <f t="shared" si="692"/>
        <v>#NUM!</v>
      </c>
      <c r="D469" t="e">
        <f t="shared" si="693"/>
        <v>#NUM!</v>
      </c>
      <c r="E469" t="e">
        <f t="shared" si="694"/>
        <v>#NUM!</v>
      </c>
      <c r="F469" t="e">
        <f t="shared" si="695"/>
        <v>#NUM!</v>
      </c>
      <c r="G469" t="e">
        <f t="shared" si="696"/>
        <v>#NUM!</v>
      </c>
      <c r="H469" s="5" t="e">
        <f t="shared" si="697"/>
        <v>#NUM!</v>
      </c>
      <c r="I469" s="5" t="e">
        <f t="shared" si="698"/>
        <v>#NUM!</v>
      </c>
      <c r="J469" s="5">
        <v>462</v>
      </c>
      <c r="N469">
        <f t="shared" si="624"/>
        <v>1.8411070585500797</v>
      </c>
      <c r="O469">
        <f t="shared" si="686"/>
        <v>4.2253993131957657E-5</v>
      </c>
    </row>
    <row r="470" spans="1:19" x14ac:dyDescent="0.2">
      <c r="A470" t="e">
        <f t="shared" si="690"/>
        <v>#NUM!</v>
      </c>
      <c r="B470" t="e">
        <f t="shared" si="691"/>
        <v>#NUM!</v>
      </c>
      <c r="C470" t="e">
        <f t="shared" si="692"/>
        <v>#NUM!</v>
      </c>
      <c r="D470" t="e">
        <f t="shared" si="693"/>
        <v>#NUM!</v>
      </c>
      <c r="E470" t="e">
        <f t="shared" si="694"/>
        <v>#NUM!</v>
      </c>
      <c r="F470" t="e">
        <f t="shared" si="695"/>
        <v>#NUM!</v>
      </c>
      <c r="G470" t="e">
        <f t="shared" si="696"/>
        <v>#NUM!</v>
      </c>
      <c r="H470" s="5" t="e">
        <f t="shared" si="697"/>
        <v>#NUM!</v>
      </c>
      <c r="I470" s="5" t="e">
        <f t="shared" si="698"/>
        <v>#NUM!</v>
      </c>
      <c r="J470" s="5">
        <v>463</v>
      </c>
      <c r="N470">
        <f t="shared" si="619"/>
        <v>1.8410870583500778</v>
      </c>
      <c r="O470">
        <f t="shared" si="686"/>
        <v>-4.2253822631010962E-5</v>
      </c>
    </row>
    <row r="471" spans="1:19" x14ac:dyDescent="0.2">
      <c r="A471" t="e">
        <f t="shared" si="690"/>
        <v>#NUM!</v>
      </c>
      <c r="B471" t="e">
        <f t="shared" si="691"/>
        <v>#NUM!</v>
      </c>
      <c r="C471" t="e">
        <f t="shared" si="692"/>
        <v>#NUM!</v>
      </c>
      <c r="D471" t="e">
        <f t="shared" si="693"/>
        <v>#NUM!</v>
      </c>
      <c r="E471" t="e">
        <f t="shared" si="694"/>
        <v>#NUM!</v>
      </c>
      <c r="F471" t="e">
        <f t="shared" si="695"/>
        <v>#NUM!</v>
      </c>
      <c r="G471" t="e">
        <f t="shared" si="696"/>
        <v>#NUM!</v>
      </c>
      <c r="H471" s="5" t="e">
        <f t="shared" si="697"/>
        <v>#NUM!</v>
      </c>
      <c r="I471" s="5" t="e">
        <f t="shared" si="698"/>
        <v>#NUM!</v>
      </c>
      <c r="J471" s="5">
        <v>464</v>
      </c>
      <c r="N471" s="10">
        <f t="shared" ref="N471" si="715">Q468</f>
        <v>1.8410970584500788</v>
      </c>
      <c r="O471">
        <f t="shared" si="686"/>
        <v>0</v>
      </c>
      <c r="P471">
        <f t="shared" ref="P471:P500" si="716">(O470-O472)/(N470-N472)</f>
        <v>4.225348534256625</v>
      </c>
      <c r="Q471" s="10">
        <f t="shared" ref="Q471" si="717">N471-O471/P471</f>
        <v>1.8410970584500788</v>
      </c>
      <c r="R471">
        <v>155</v>
      </c>
      <c r="S471">
        <f t="shared" ref="S471:S500" si="718">N471</f>
        <v>1.8410970584500788</v>
      </c>
    </row>
    <row r="472" spans="1:19" x14ac:dyDescent="0.2">
      <c r="A472" t="e">
        <f t="shared" si="690"/>
        <v>#NUM!</v>
      </c>
      <c r="B472" t="e">
        <f t="shared" si="691"/>
        <v>#NUM!</v>
      </c>
      <c r="C472" t="e">
        <f t="shared" si="692"/>
        <v>#NUM!</v>
      </c>
      <c r="D472" t="e">
        <f t="shared" si="693"/>
        <v>#NUM!</v>
      </c>
      <c r="E472" t="e">
        <f t="shared" si="694"/>
        <v>#NUM!</v>
      </c>
      <c r="F472" t="e">
        <f t="shared" si="695"/>
        <v>#NUM!</v>
      </c>
      <c r="G472" t="e">
        <f t="shared" si="696"/>
        <v>#NUM!</v>
      </c>
      <c r="H472" s="5" t="e">
        <f t="shared" si="697"/>
        <v>#NUM!</v>
      </c>
      <c r="I472" s="5" t="e">
        <f t="shared" si="698"/>
        <v>#NUM!</v>
      </c>
      <c r="J472" s="5">
        <v>465</v>
      </c>
      <c r="N472">
        <f t="shared" si="624"/>
        <v>1.8411070585500797</v>
      </c>
      <c r="O472">
        <f t="shared" si="686"/>
        <v>4.2253993131957657E-5</v>
      </c>
    </row>
    <row r="473" spans="1:19" x14ac:dyDescent="0.2">
      <c r="A473" t="e">
        <f t="shared" si="690"/>
        <v>#NUM!</v>
      </c>
      <c r="B473" t="e">
        <f t="shared" si="691"/>
        <v>#NUM!</v>
      </c>
      <c r="C473" t="e">
        <f t="shared" si="692"/>
        <v>#NUM!</v>
      </c>
      <c r="D473" t="e">
        <f t="shared" si="693"/>
        <v>#NUM!</v>
      </c>
      <c r="E473" t="e">
        <f t="shared" si="694"/>
        <v>#NUM!</v>
      </c>
      <c r="F473" t="e">
        <f t="shared" si="695"/>
        <v>#NUM!</v>
      </c>
      <c r="G473" t="e">
        <f t="shared" si="696"/>
        <v>#NUM!</v>
      </c>
      <c r="H473" s="5" t="e">
        <f t="shared" si="697"/>
        <v>#NUM!</v>
      </c>
      <c r="I473" s="5" t="e">
        <f t="shared" si="698"/>
        <v>#NUM!</v>
      </c>
      <c r="J473" s="5">
        <v>466</v>
      </c>
      <c r="N473">
        <f t="shared" ref="N473:N500" si="719">N474-1/99999</f>
        <v>1.8410870583500778</v>
      </c>
      <c r="O473">
        <f t="shared" si="686"/>
        <v>-4.2253822631010962E-5</v>
      </c>
    </row>
    <row r="474" spans="1:19" x14ac:dyDescent="0.2">
      <c r="A474" t="e">
        <f t="shared" si="690"/>
        <v>#NUM!</v>
      </c>
      <c r="B474" t="e">
        <f t="shared" si="691"/>
        <v>#NUM!</v>
      </c>
      <c r="C474" t="e">
        <f t="shared" si="692"/>
        <v>#NUM!</v>
      </c>
      <c r="D474" t="e">
        <f t="shared" si="693"/>
        <v>#NUM!</v>
      </c>
      <c r="E474" t="e">
        <f t="shared" si="694"/>
        <v>#NUM!</v>
      </c>
      <c r="F474" t="e">
        <f t="shared" si="695"/>
        <v>#NUM!</v>
      </c>
      <c r="G474" t="e">
        <f t="shared" si="696"/>
        <v>#NUM!</v>
      </c>
      <c r="H474" s="5" t="e">
        <f t="shared" si="697"/>
        <v>#NUM!</v>
      </c>
      <c r="I474" s="5" t="e">
        <f t="shared" si="698"/>
        <v>#NUM!</v>
      </c>
      <c r="J474" s="5">
        <v>467</v>
      </c>
      <c r="N474" s="10">
        <f t="shared" ref="N474" si="720">Q471</f>
        <v>1.8410970584500788</v>
      </c>
      <c r="O474">
        <f t="shared" si="686"/>
        <v>0</v>
      </c>
      <c r="P474">
        <f t="shared" ref="P474:P500" si="721">(O473-O475)/(N473-N475)</f>
        <v>4.225348534256625</v>
      </c>
      <c r="Q474" s="10">
        <f t="shared" ref="Q474" si="722">N474-O474/P474</f>
        <v>1.8410970584500788</v>
      </c>
      <c r="R474">
        <v>156</v>
      </c>
      <c r="S474">
        <f t="shared" ref="S474:S500" si="723">N474</f>
        <v>1.8410970584500788</v>
      </c>
    </row>
    <row r="475" spans="1:19" x14ac:dyDescent="0.2">
      <c r="A475" t="e">
        <f t="shared" si="690"/>
        <v>#NUM!</v>
      </c>
      <c r="B475" t="e">
        <f t="shared" si="691"/>
        <v>#NUM!</v>
      </c>
      <c r="C475" t="e">
        <f t="shared" si="692"/>
        <v>#NUM!</v>
      </c>
      <c r="D475" t="e">
        <f t="shared" si="693"/>
        <v>#NUM!</v>
      </c>
      <c r="E475" t="e">
        <f t="shared" si="694"/>
        <v>#NUM!</v>
      </c>
      <c r="F475" t="e">
        <f t="shared" si="695"/>
        <v>#NUM!</v>
      </c>
      <c r="G475" t="e">
        <f t="shared" si="696"/>
        <v>#NUM!</v>
      </c>
      <c r="H475" s="5" t="e">
        <f t="shared" si="697"/>
        <v>#NUM!</v>
      </c>
      <c r="I475" s="5" t="e">
        <f t="shared" si="698"/>
        <v>#NUM!</v>
      </c>
      <c r="J475" s="5">
        <v>468</v>
      </c>
      <c r="N475">
        <f t="shared" ref="N475:N500" si="724">N474+1/99999</f>
        <v>1.8411070585500797</v>
      </c>
      <c r="O475">
        <f t="shared" si="686"/>
        <v>4.2253993131957657E-5</v>
      </c>
    </row>
    <row r="476" spans="1:19" x14ac:dyDescent="0.2">
      <c r="A476" t="e">
        <f t="shared" si="690"/>
        <v>#NUM!</v>
      </c>
      <c r="B476" t="e">
        <f t="shared" si="691"/>
        <v>#NUM!</v>
      </c>
      <c r="C476" t="e">
        <f t="shared" si="692"/>
        <v>#NUM!</v>
      </c>
      <c r="D476" t="e">
        <f t="shared" si="693"/>
        <v>#NUM!</v>
      </c>
      <c r="E476" t="e">
        <f t="shared" si="694"/>
        <v>#NUM!</v>
      </c>
      <c r="F476" t="e">
        <f t="shared" si="695"/>
        <v>#NUM!</v>
      </c>
      <c r="G476" t="e">
        <f t="shared" si="696"/>
        <v>#NUM!</v>
      </c>
      <c r="H476" s="5" t="e">
        <f t="shared" si="697"/>
        <v>#NUM!</v>
      </c>
      <c r="I476" s="5" t="e">
        <f t="shared" si="698"/>
        <v>#NUM!</v>
      </c>
      <c r="J476" s="5">
        <v>469</v>
      </c>
      <c r="N476">
        <f t="shared" si="719"/>
        <v>1.8410870583500778</v>
      </c>
      <c r="O476">
        <f t="shared" si="686"/>
        <v>-4.2253822631010962E-5</v>
      </c>
    </row>
    <row r="477" spans="1:19" x14ac:dyDescent="0.2">
      <c r="A477" t="e">
        <f t="shared" si="690"/>
        <v>#NUM!</v>
      </c>
      <c r="B477" t="e">
        <f t="shared" si="691"/>
        <v>#NUM!</v>
      </c>
      <c r="C477" t="e">
        <f t="shared" si="692"/>
        <v>#NUM!</v>
      </c>
      <c r="D477" t="e">
        <f t="shared" si="693"/>
        <v>#NUM!</v>
      </c>
      <c r="E477" t="e">
        <f t="shared" si="694"/>
        <v>#NUM!</v>
      </c>
      <c r="F477" t="e">
        <f t="shared" si="695"/>
        <v>#NUM!</v>
      </c>
      <c r="G477" t="e">
        <f t="shared" si="696"/>
        <v>#NUM!</v>
      </c>
      <c r="H477" s="5" t="e">
        <f t="shared" si="697"/>
        <v>#NUM!</v>
      </c>
      <c r="I477" s="5" t="e">
        <f t="shared" si="698"/>
        <v>#NUM!</v>
      </c>
      <c r="J477" s="5">
        <v>470</v>
      </c>
      <c r="N477" s="10">
        <f t="shared" ref="N477" si="725">Q474</f>
        <v>1.8410970584500788</v>
      </c>
      <c r="O477">
        <f t="shared" si="686"/>
        <v>0</v>
      </c>
      <c r="P477">
        <f t="shared" ref="P477:P500" si="726">(O476-O478)/(N476-N478)</f>
        <v>4.225348534256625</v>
      </c>
      <c r="Q477" s="10">
        <f t="shared" ref="Q477" si="727">N477-O477/P477</f>
        <v>1.8410970584500788</v>
      </c>
      <c r="R477">
        <v>157</v>
      </c>
      <c r="S477">
        <f t="shared" ref="S477:S500" si="728">N477</f>
        <v>1.8410970584500788</v>
      </c>
    </row>
    <row r="478" spans="1:19" x14ac:dyDescent="0.2">
      <c r="A478" t="e">
        <f t="shared" si="690"/>
        <v>#NUM!</v>
      </c>
      <c r="B478" t="e">
        <f t="shared" si="691"/>
        <v>#NUM!</v>
      </c>
      <c r="C478" t="e">
        <f t="shared" si="692"/>
        <v>#NUM!</v>
      </c>
      <c r="D478" t="e">
        <f t="shared" si="693"/>
        <v>#NUM!</v>
      </c>
      <c r="E478" t="e">
        <f t="shared" si="694"/>
        <v>#NUM!</v>
      </c>
      <c r="F478" t="e">
        <f t="shared" si="695"/>
        <v>#NUM!</v>
      </c>
      <c r="G478" t="e">
        <f t="shared" si="696"/>
        <v>#NUM!</v>
      </c>
      <c r="H478" s="5" t="e">
        <f t="shared" si="697"/>
        <v>#NUM!</v>
      </c>
      <c r="I478" s="5" t="e">
        <f t="shared" si="698"/>
        <v>#NUM!</v>
      </c>
      <c r="J478" s="5">
        <v>471</v>
      </c>
      <c r="N478">
        <f t="shared" si="724"/>
        <v>1.8411070585500797</v>
      </c>
      <c r="O478">
        <f t="shared" si="686"/>
        <v>4.2253993131957657E-5</v>
      </c>
    </row>
    <row r="479" spans="1:19" x14ac:dyDescent="0.2">
      <c r="A479" t="e">
        <f t="shared" si="690"/>
        <v>#NUM!</v>
      </c>
      <c r="B479" t="e">
        <f t="shared" si="691"/>
        <v>#NUM!</v>
      </c>
      <c r="C479" t="e">
        <f t="shared" si="692"/>
        <v>#NUM!</v>
      </c>
      <c r="D479" t="e">
        <f t="shared" si="693"/>
        <v>#NUM!</v>
      </c>
      <c r="E479" t="e">
        <f t="shared" si="694"/>
        <v>#NUM!</v>
      </c>
      <c r="F479" t="e">
        <f t="shared" si="695"/>
        <v>#NUM!</v>
      </c>
      <c r="G479" t="e">
        <f t="shared" si="696"/>
        <v>#NUM!</v>
      </c>
      <c r="H479" s="5" t="e">
        <f t="shared" si="697"/>
        <v>#NUM!</v>
      </c>
      <c r="I479" s="5" t="e">
        <f t="shared" si="698"/>
        <v>#NUM!</v>
      </c>
      <c r="J479" s="5">
        <v>472</v>
      </c>
      <c r="N479">
        <f t="shared" si="719"/>
        <v>1.8410870583500778</v>
      </c>
      <c r="O479">
        <f t="shared" si="686"/>
        <v>-4.2253822631010962E-5</v>
      </c>
    </row>
    <row r="480" spans="1:19" x14ac:dyDescent="0.2">
      <c r="A480" t="e">
        <f t="shared" si="690"/>
        <v>#NUM!</v>
      </c>
      <c r="B480" t="e">
        <f t="shared" si="691"/>
        <v>#NUM!</v>
      </c>
      <c r="C480" t="e">
        <f t="shared" si="692"/>
        <v>#NUM!</v>
      </c>
      <c r="D480" t="e">
        <f t="shared" si="693"/>
        <v>#NUM!</v>
      </c>
      <c r="E480" t="e">
        <f t="shared" si="694"/>
        <v>#NUM!</v>
      </c>
      <c r="F480" t="e">
        <f t="shared" si="695"/>
        <v>#NUM!</v>
      </c>
      <c r="G480" t="e">
        <f t="shared" si="696"/>
        <v>#NUM!</v>
      </c>
      <c r="H480" s="5" t="e">
        <f t="shared" si="697"/>
        <v>#NUM!</v>
      </c>
      <c r="I480" s="5" t="e">
        <f t="shared" si="698"/>
        <v>#NUM!</v>
      </c>
      <c r="J480" s="5">
        <v>473</v>
      </c>
      <c r="N480" s="10">
        <f t="shared" ref="N480" si="729">Q477</f>
        <v>1.8410970584500788</v>
      </c>
      <c r="O480">
        <f t="shared" si="686"/>
        <v>0</v>
      </c>
      <c r="P480">
        <f t="shared" ref="P480:P500" si="730">(O479-O481)/(N479-N481)</f>
        <v>4.225348534256625</v>
      </c>
      <c r="Q480" s="10">
        <f t="shared" ref="Q480" si="731">N480-O480/P480</f>
        <v>1.8410970584500788</v>
      </c>
      <c r="R480">
        <v>158</v>
      </c>
      <c r="S480">
        <f t="shared" ref="S480:S500" si="732">N480</f>
        <v>1.8410970584500788</v>
      </c>
    </row>
    <row r="481" spans="1:19" x14ac:dyDescent="0.2">
      <c r="A481" t="e">
        <f t="shared" si="690"/>
        <v>#NUM!</v>
      </c>
      <c r="B481" t="e">
        <f t="shared" si="691"/>
        <v>#NUM!</v>
      </c>
      <c r="C481" t="e">
        <f t="shared" si="692"/>
        <v>#NUM!</v>
      </c>
      <c r="D481" t="e">
        <f t="shared" si="693"/>
        <v>#NUM!</v>
      </c>
      <c r="E481" t="e">
        <f t="shared" si="694"/>
        <v>#NUM!</v>
      </c>
      <c r="F481" t="e">
        <f t="shared" si="695"/>
        <v>#NUM!</v>
      </c>
      <c r="G481" t="e">
        <f t="shared" si="696"/>
        <v>#NUM!</v>
      </c>
      <c r="H481" s="5" t="e">
        <f t="shared" si="697"/>
        <v>#NUM!</v>
      </c>
      <c r="I481" s="5" t="e">
        <f t="shared" si="698"/>
        <v>#NUM!</v>
      </c>
      <c r="J481" s="5">
        <v>474</v>
      </c>
      <c r="N481">
        <f t="shared" si="724"/>
        <v>1.8411070585500797</v>
      </c>
      <c r="O481">
        <f t="shared" si="686"/>
        <v>4.2253993131957657E-5</v>
      </c>
    </row>
    <row r="482" spans="1:19" x14ac:dyDescent="0.2">
      <c r="A482" t="e">
        <f t="shared" si="690"/>
        <v>#NUM!</v>
      </c>
      <c r="B482" t="e">
        <f t="shared" si="691"/>
        <v>#NUM!</v>
      </c>
      <c r="C482" t="e">
        <f t="shared" si="692"/>
        <v>#NUM!</v>
      </c>
      <c r="D482" t="e">
        <f t="shared" si="693"/>
        <v>#NUM!</v>
      </c>
      <c r="E482" t="e">
        <f t="shared" si="694"/>
        <v>#NUM!</v>
      </c>
      <c r="F482" t="e">
        <f t="shared" si="695"/>
        <v>#NUM!</v>
      </c>
      <c r="G482" t="e">
        <f t="shared" si="696"/>
        <v>#NUM!</v>
      </c>
      <c r="H482" s="5" t="e">
        <f t="shared" si="697"/>
        <v>#NUM!</v>
      </c>
      <c r="I482" s="5" t="e">
        <f t="shared" si="698"/>
        <v>#NUM!</v>
      </c>
      <c r="J482" s="5">
        <v>475</v>
      </c>
      <c r="N482">
        <f t="shared" si="719"/>
        <v>1.8410870583500778</v>
      </c>
      <c r="O482">
        <f t="shared" si="686"/>
        <v>-4.2253822631010962E-5</v>
      </c>
    </row>
    <row r="483" spans="1:19" x14ac:dyDescent="0.2">
      <c r="A483" t="e">
        <f t="shared" si="690"/>
        <v>#NUM!</v>
      </c>
      <c r="B483" t="e">
        <f t="shared" si="691"/>
        <v>#NUM!</v>
      </c>
      <c r="C483" t="e">
        <f t="shared" si="692"/>
        <v>#NUM!</v>
      </c>
      <c r="D483" t="e">
        <f t="shared" si="693"/>
        <v>#NUM!</v>
      </c>
      <c r="E483" t="e">
        <f t="shared" si="694"/>
        <v>#NUM!</v>
      </c>
      <c r="F483" t="e">
        <f t="shared" si="695"/>
        <v>#NUM!</v>
      </c>
      <c r="G483" t="e">
        <f t="shared" si="696"/>
        <v>#NUM!</v>
      </c>
      <c r="H483" s="5" t="e">
        <f t="shared" si="697"/>
        <v>#NUM!</v>
      </c>
      <c r="I483" s="5" t="e">
        <f t="shared" si="698"/>
        <v>#NUM!</v>
      </c>
      <c r="J483" s="5">
        <v>476</v>
      </c>
      <c r="N483" s="10">
        <f t="shared" ref="N483" si="733">Q480</f>
        <v>1.8410970584500788</v>
      </c>
      <c r="O483">
        <f t="shared" si="686"/>
        <v>0</v>
      </c>
      <c r="P483">
        <f t="shared" ref="P483:P500" si="734">(O482-O484)/(N482-N484)</f>
        <v>4.225348534256625</v>
      </c>
      <c r="Q483" s="10">
        <f t="shared" ref="Q483" si="735">N483-O483/P483</f>
        <v>1.8410970584500788</v>
      </c>
      <c r="R483">
        <v>159</v>
      </c>
      <c r="S483">
        <f t="shared" ref="S483:S500" si="736">N483</f>
        <v>1.8410970584500788</v>
      </c>
    </row>
    <row r="484" spans="1:19" x14ac:dyDescent="0.2">
      <c r="A484" t="e">
        <f t="shared" si="690"/>
        <v>#NUM!</v>
      </c>
      <c r="B484" t="e">
        <f t="shared" si="691"/>
        <v>#NUM!</v>
      </c>
      <c r="C484" t="e">
        <f t="shared" si="692"/>
        <v>#NUM!</v>
      </c>
      <c r="D484" t="e">
        <f t="shared" si="693"/>
        <v>#NUM!</v>
      </c>
      <c r="E484" t="e">
        <f t="shared" si="694"/>
        <v>#NUM!</v>
      </c>
      <c r="F484" t="e">
        <f t="shared" si="695"/>
        <v>#NUM!</v>
      </c>
      <c r="G484" t="e">
        <f t="shared" si="696"/>
        <v>#NUM!</v>
      </c>
      <c r="H484" s="5" t="e">
        <f t="shared" si="697"/>
        <v>#NUM!</v>
      </c>
      <c r="I484" s="5" t="e">
        <f t="shared" si="698"/>
        <v>#NUM!</v>
      </c>
      <c r="J484" s="5">
        <v>477</v>
      </c>
      <c r="N484">
        <f t="shared" si="724"/>
        <v>1.8411070585500797</v>
      </c>
      <c r="O484">
        <f t="shared" si="686"/>
        <v>4.2253993131957657E-5</v>
      </c>
    </row>
    <row r="485" spans="1:19" x14ac:dyDescent="0.2">
      <c r="A485" t="e">
        <f t="shared" si="690"/>
        <v>#NUM!</v>
      </c>
      <c r="B485" t="e">
        <f t="shared" si="691"/>
        <v>#NUM!</v>
      </c>
      <c r="C485" t="e">
        <f t="shared" si="692"/>
        <v>#NUM!</v>
      </c>
      <c r="D485" t="e">
        <f t="shared" si="693"/>
        <v>#NUM!</v>
      </c>
      <c r="E485" t="e">
        <f t="shared" si="694"/>
        <v>#NUM!</v>
      </c>
      <c r="F485" t="e">
        <f t="shared" si="695"/>
        <v>#NUM!</v>
      </c>
      <c r="G485" t="e">
        <f t="shared" si="696"/>
        <v>#NUM!</v>
      </c>
      <c r="H485" s="5" t="e">
        <f t="shared" si="697"/>
        <v>#NUM!</v>
      </c>
      <c r="I485" s="5" t="e">
        <f t="shared" si="698"/>
        <v>#NUM!</v>
      </c>
      <c r="J485" s="5">
        <v>478</v>
      </c>
      <c r="N485">
        <f t="shared" si="719"/>
        <v>1.8410870583500778</v>
      </c>
      <c r="O485">
        <f t="shared" si="686"/>
        <v>-4.2253822631010962E-5</v>
      </c>
    </row>
    <row r="486" spans="1:19" x14ac:dyDescent="0.2">
      <c r="A486" t="e">
        <f t="shared" si="690"/>
        <v>#NUM!</v>
      </c>
      <c r="B486" t="e">
        <f t="shared" si="691"/>
        <v>#NUM!</v>
      </c>
      <c r="C486" t="e">
        <f t="shared" si="692"/>
        <v>#NUM!</v>
      </c>
      <c r="D486" t="e">
        <f t="shared" si="693"/>
        <v>#NUM!</v>
      </c>
      <c r="E486" t="e">
        <f t="shared" si="694"/>
        <v>#NUM!</v>
      </c>
      <c r="F486" t="e">
        <f t="shared" si="695"/>
        <v>#NUM!</v>
      </c>
      <c r="G486" t="e">
        <f t="shared" si="696"/>
        <v>#NUM!</v>
      </c>
      <c r="H486" s="5" t="e">
        <f t="shared" si="697"/>
        <v>#NUM!</v>
      </c>
      <c r="I486" s="5" t="e">
        <f t="shared" si="698"/>
        <v>#NUM!</v>
      </c>
      <c r="J486" s="5">
        <v>479</v>
      </c>
      <c r="N486" s="10">
        <f t="shared" ref="N486" si="737">Q483</f>
        <v>1.8410970584500788</v>
      </c>
      <c r="O486">
        <f t="shared" si="686"/>
        <v>0</v>
      </c>
      <c r="P486">
        <f t="shared" ref="P486:P500" si="738">(O485-O487)/(N485-N487)</f>
        <v>4.225348534256625</v>
      </c>
      <c r="Q486" s="10">
        <f t="shared" ref="Q486" si="739">N486-O486/P486</f>
        <v>1.8410970584500788</v>
      </c>
      <c r="R486">
        <v>160</v>
      </c>
      <c r="S486">
        <f t="shared" ref="S486:S500" si="740">N486</f>
        <v>1.8410970584500788</v>
      </c>
    </row>
    <row r="487" spans="1:19" x14ac:dyDescent="0.2">
      <c r="A487" t="e">
        <f t="shared" si="690"/>
        <v>#NUM!</v>
      </c>
      <c r="B487" t="e">
        <f t="shared" si="691"/>
        <v>#NUM!</v>
      </c>
      <c r="C487" t="e">
        <f t="shared" si="692"/>
        <v>#NUM!</v>
      </c>
      <c r="D487" t="e">
        <f t="shared" si="693"/>
        <v>#NUM!</v>
      </c>
      <c r="E487" t="e">
        <f t="shared" si="694"/>
        <v>#NUM!</v>
      </c>
      <c r="F487" t="e">
        <f t="shared" si="695"/>
        <v>#NUM!</v>
      </c>
      <c r="G487" t="e">
        <f t="shared" si="696"/>
        <v>#NUM!</v>
      </c>
      <c r="H487" s="5" t="e">
        <f t="shared" si="697"/>
        <v>#NUM!</v>
      </c>
      <c r="I487" s="5" t="e">
        <f t="shared" si="698"/>
        <v>#NUM!</v>
      </c>
      <c r="J487" s="5">
        <v>480</v>
      </c>
      <c r="N487">
        <f t="shared" si="724"/>
        <v>1.8411070585500797</v>
      </c>
      <c r="O487">
        <f t="shared" si="686"/>
        <v>4.2253993131957657E-5</v>
      </c>
    </row>
    <row r="488" spans="1:19" x14ac:dyDescent="0.2">
      <c r="A488" t="e">
        <f t="shared" si="690"/>
        <v>#NUM!</v>
      </c>
      <c r="B488" t="e">
        <f t="shared" si="691"/>
        <v>#NUM!</v>
      </c>
      <c r="C488" t="e">
        <f t="shared" si="692"/>
        <v>#NUM!</v>
      </c>
      <c r="D488" t="e">
        <f t="shared" si="693"/>
        <v>#NUM!</v>
      </c>
      <c r="E488" t="e">
        <f t="shared" si="694"/>
        <v>#NUM!</v>
      </c>
      <c r="F488" t="e">
        <f t="shared" si="695"/>
        <v>#NUM!</v>
      </c>
      <c r="G488" t="e">
        <f t="shared" si="696"/>
        <v>#NUM!</v>
      </c>
      <c r="H488" s="5" t="e">
        <f t="shared" si="697"/>
        <v>#NUM!</v>
      </c>
      <c r="I488" s="5" t="e">
        <f t="shared" si="698"/>
        <v>#NUM!</v>
      </c>
      <c r="J488" s="5">
        <v>481</v>
      </c>
      <c r="N488">
        <f t="shared" si="719"/>
        <v>1.8410870583500778</v>
      </c>
      <c r="O488">
        <f t="shared" si="686"/>
        <v>-4.2253822631010962E-5</v>
      </c>
    </row>
    <row r="489" spans="1:19" x14ac:dyDescent="0.2">
      <c r="A489" t="e">
        <f t="shared" si="690"/>
        <v>#NUM!</v>
      </c>
      <c r="B489" t="e">
        <f t="shared" si="691"/>
        <v>#NUM!</v>
      </c>
      <c r="C489" t="e">
        <f t="shared" si="692"/>
        <v>#NUM!</v>
      </c>
      <c r="D489" t="e">
        <f t="shared" si="693"/>
        <v>#NUM!</v>
      </c>
      <c r="E489" t="e">
        <f t="shared" si="694"/>
        <v>#NUM!</v>
      </c>
      <c r="F489" t="e">
        <f t="shared" si="695"/>
        <v>#NUM!</v>
      </c>
      <c r="G489" t="e">
        <f t="shared" si="696"/>
        <v>#NUM!</v>
      </c>
      <c r="H489" s="5" t="e">
        <f t="shared" si="697"/>
        <v>#NUM!</v>
      </c>
      <c r="I489" s="5" t="e">
        <f t="shared" si="698"/>
        <v>#NUM!</v>
      </c>
      <c r="J489" s="5">
        <v>482</v>
      </c>
      <c r="N489" s="10">
        <f t="shared" ref="N489" si="741">Q486</f>
        <v>1.8410970584500788</v>
      </c>
      <c r="O489">
        <f t="shared" si="686"/>
        <v>0</v>
      </c>
      <c r="P489">
        <f t="shared" ref="P489:P500" si="742">(O488-O490)/(N488-N490)</f>
        <v>4.225348534256625</v>
      </c>
      <c r="Q489" s="10">
        <f t="shared" ref="Q489" si="743">N489-O489/P489</f>
        <v>1.8410970584500788</v>
      </c>
      <c r="R489">
        <v>161</v>
      </c>
      <c r="S489">
        <f t="shared" ref="S489:S500" si="744">N489</f>
        <v>1.8410970584500788</v>
      </c>
    </row>
    <row r="490" spans="1:19" x14ac:dyDescent="0.2">
      <c r="A490" t="e">
        <f t="shared" si="690"/>
        <v>#NUM!</v>
      </c>
      <c r="B490" t="e">
        <f t="shared" si="691"/>
        <v>#NUM!</v>
      </c>
      <c r="C490" t="e">
        <f t="shared" si="692"/>
        <v>#NUM!</v>
      </c>
      <c r="D490" t="e">
        <f t="shared" si="693"/>
        <v>#NUM!</v>
      </c>
      <c r="E490" t="e">
        <f t="shared" si="694"/>
        <v>#NUM!</v>
      </c>
      <c r="F490" t="e">
        <f t="shared" si="695"/>
        <v>#NUM!</v>
      </c>
      <c r="G490" t="e">
        <f t="shared" si="696"/>
        <v>#NUM!</v>
      </c>
      <c r="H490" s="5" t="e">
        <f t="shared" si="697"/>
        <v>#NUM!</v>
      </c>
      <c r="I490" s="5" t="e">
        <f t="shared" si="698"/>
        <v>#NUM!</v>
      </c>
      <c r="J490" s="5">
        <v>483</v>
      </c>
      <c r="N490">
        <f t="shared" si="724"/>
        <v>1.8411070585500797</v>
      </c>
      <c r="O490">
        <f t="shared" si="686"/>
        <v>4.2253993131957657E-5</v>
      </c>
    </row>
    <row r="491" spans="1:19" x14ac:dyDescent="0.2">
      <c r="A491" t="e">
        <f t="shared" si="690"/>
        <v>#NUM!</v>
      </c>
      <c r="B491" t="e">
        <f t="shared" si="691"/>
        <v>#NUM!</v>
      </c>
      <c r="C491" t="e">
        <f t="shared" si="692"/>
        <v>#NUM!</v>
      </c>
      <c r="D491" t="e">
        <f t="shared" si="693"/>
        <v>#NUM!</v>
      </c>
      <c r="E491" t="e">
        <f t="shared" si="694"/>
        <v>#NUM!</v>
      </c>
      <c r="F491" t="e">
        <f t="shared" si="695"/>
        <v>#NUM!</v>
      </c>
      <c r="G491" t="e">
        <f t="shared" si="696"/>
        <v>#NUM!</v>
      </c>
      <c r="H491" s="5" t="e">
        <f t="shared" si="697"/>
        <v>#NUM!</v>
      </c>
      <c r="I491" s="5" t="e">
        <f t="shared" si="698"/>
        <v>#NUM!</v>
      </c>
      <c r="J491" s="5">
        <v>484</v>
      </c>
      <c r="N491">
        <f t="shared" si="719"/>
        <v>1.8410870583500778</v>
      </c>
      <c r="O491">
        <f t="shared" si="686"/>
        <v>-4.2253822631010962E-5</v>
      </c>
    </row>
    <row r="492" spans="1:19" x14ac:dyDescent="0.2">
      <c r="A492" t="e">
        <f t="shared" si="690"/>
        <v>#NUM!</v>
      </c>
      <c r="B492" t="e">
        <f t="shared" si="691"/>
        <v>#NUM!</v>
      </c>
      <c r="C492" t="e">
        <f t="shared" si="692"/>
        <v>#NUM!</v>
      </c>
      <c r="D492" t="e">
        <f t="shared" si="693"/>
        <v>#NUM!</v>
      </c>
      <c r="E492" t="e">
        <f t="shared" si="694"/>
        <v>#NUM!</v>
      </c>
      <c r="F492" t="e">
        <f t="shared" si="695"/>
        <v>#NUM!</v>
      </c>
      <c r="G492" t="e">
        <f t="shared" si="696"/>
        <v>#NUM!</v>
      </c>
      <c r="H492" s="5" t="e">
        <f t="shared" si="697"/>
        <v>#NUM!</v>
      </c>
      <c r="I492" s="5" t="e">
        <f t="shared" si="698"/>
        <v>#NUM!</v>
      </c>
      <c r="J492" s="5">
        <v>485</v>
      </c>
      <c r="N492" s="10">
        <f t="shared" ref="N492" si="745">Q489</f>
        <v>1.8410970584500788</v>
      </c>
      <c r="O492">
        <f t="shared" si="686"/>
        <v>0</v>
      </c>
      <c r="P492">
        <f t="shared" ref="P492:P500" si="746">(O491-O493)/(N491-N493)</f>
        <v>4.225348534256625</v>
      </c>
      <c r="Q492" s="10">
        <f t="shared" ref="Q492" si="747">N492-O492/P492</f>
        <v>1.8410970584500788</v>
      </c>
      <c r="R492">
        <v>162</v>
      </c>
      <c r="S492">
        <f t="shared" ref="S492:S500" si="748">N492</f>
        <v>1.8410970584500788</v>
      </c>
    </row>
    <row r="493" spans="1:19" x14ac:dyDescent="0.2">
      <c r="A493" t="e">
        <f t="shared" si="690"/>
        <v>#NUM!</v>
      </c>
      <c r="B493" t="e">
        <f t="shared" si="691"/>
        <v>#NUM!</v>
      </c>
      <c r="C493" t="e">
        <f t="shared" si="692"/>
        <v>#NUM!</v>
      </c>
      <c r="D493" t="e">
        <f t="shared" si="693"/>
        <v>#NUM!</v>
      </c>
      <c r="E493" t="e">
        <f t="shared" si="694"/>
        <v>#NUM!</v>
      </c>
      <c r="F493" t="e">
        <f t="shared" si="695"/>
        <v>#NUM!</v>
      </c>
      <c r="G493" t="e">
        <f t="shared" si="696"/>
        <v>#NUM!</v>
      </c>
      <c r="H493" s="5" t="e">
        <f t="shared" si="697"/>
        <v>#NUM!</v>
      </c>
      <c r="I493" s="5" t="e">
        <f t="shared" si="698"/>
        <v>#NUM!</v>
      </c>
      <c r="J493" s="5">
        <v>486</v>
      </c>
      <c r="N493">
        <f t="shared" si="724"/>
        <v>1.8411070585500797</v>
      </c>
      <c r="O493">
        <f t="shared" si="686"/>
        <v>4.2253993131957657E-5</v>
      </c>
    </row>
    <row r="494" spans="1:19" x14ac:dyDescent="0.2">
      <c r="A494" t="e">
        <f t="shared" si="690"/>
        <v>#NUM!</v>
      </c>
      <c r="B494" t="e">
        <f t="shared" si="691"/>
        <v>#NUM!</v>
      </c>
      <c r="C494" t="e">
        <f t="shared" si="692"/>
        <v>#NUM!</v>
      </c>
      <c r="D494" t="e">
        <f t="shared" si="693"/>
        <v>#NUM!</v>
      </c>
      <c r="E494" t="e">
        <f t="shared" si="694"/>
        <v>#NUM!</v>
      </c>
      <c r="F494" t="e">
        <f t="shared" si="695"/>
        <v>#NUM!</v>
      </c>
      <c r="G494" t="e">
        <f t="shared" si="696"/>
        <v>#NUM!</v>
      </c>
      <c r="H494" s="5" t="e">
        <f t="shared" si="697"/>
        <v>#NUM!</v>
      </c>
      <c r="I494" s="5" t="e">
        <f t="shared" si="698"/>
        <v>#NUM!</v>
      </c>
      <c r="J494" s="5">
        <v>487</v>
      </c>
      <c r="N494">
        <f t="shared" si="719"/>
        <v>1.8410870583500778</v>
      </c>
      <c r="O494">
        <f t="shared" si="686"/>
        <v>-4.2253822631010962E-5</v>
      </c>
    </row>
    <row r="495" spans="1:19" x14ac:dyDescent="0.2">
      <c r="A495" t="e">
        <f t="shared" si="690"/>
        <v>#NUM!</v>
      </c>
      <c r="B495" t="e">
        <f t="shared" si="691"/>
        <v>#NUM!</v>
      </c>
      <c r="C495" t="e">
        <f t="shared" si="692"/>
        <v>#NUM!</v>
      </c>
      <c r="D495" t="e">
        <f t="shared" si="693"/>
        <v>#NUM!</v>
      </c>
      <c r="E495" t="e">
        <f t="shared" si="694"/>
        <v>#NUM!</v>
      </c>
      <c r="F495" t="e">
        <f t="shared" si="695"/>
        <v>#NUM!</v>
      </c>
      <c r="G495" t="e">
        <f t="shared" si="696"/>
        <v>#NUM!</v>
      </c>
      <c r="H495" s="5" t="e">
        <f t="shared" si="697"/>
        <v>#NUM!</v>
      </c>
      <c r="I495" s="5" t="e">
        <f t="shared" si="698"/>
        <v>#NUM!</v>
      </c>
      <c r="J495" s="5">
        <v>488</v>
      </c>
      <c r="N495" s="10">
        <f t="shared" ref="N495" si="749">Q492</f>
        <v>1.8410970584500788</v>
      </c>
      <c r="O495">
        <f t="shared" si="686"/>
        <v>0</v>
      </c>
      <c r="P495">
        <f t="shared" ref="P495:P500" si="750">(O494-O496)/(N494-N496)</f>
        <v>4.225348534256625</v>
      </c>
      <c r="Q495" s="10">
        <f t="shared" ref="Q495" si="751">N495-O495/P495</f>
        <v>1.8410970584500788</v>
      </c>
      <c r="R495">
        <v>163</v>
      </c>
      <c r="S495">
        <f t="shared" ref="S495:S500" si="752">N495</f>
        <v>1.8410970584500788</v>
      </c>
    </row>
    <row r="496" spans="1:19" x14ac:dyDescent="0.2">
      <c r="A496" t="e">
        <f t="shared" si="690"/>
        <v>#NUM!</v>
      </c>
      <c r="B496" t="e">
        <f t="shared" si="691"/>
        <v>#NUM!</v>
      </c>
      <c r="C496" t="e">
        <f t="shared" si="692"/>
        <v>#NUM!</v>
      </c>
      <c r="D496" t="e">
        <f t="shared" si="693"/>
        <v>#NUM!</v>
      </c>
      <c r="E496" t="e">
        <f t="shared" si="694"/>
        <v>#NUM!</v>
      </c>
      <c r="F496" t="e">
        <f t="shared" si="695"/>
        <v>#NUM!</v>
      </c>
      <c r="G496" t="e">
        <f t="shared" si="696"/>
        <v>#NUM!</v>
      </c>
      <c r="H496" s="5" t="e">
        <f t="shared" si="697"/>
        <v>#NUM!</v>
      </c>
      <c r="I496" s="5" t="e">
        <f t="shared" si="698"/>
        <v>#NUM!</v>
      </c>
      <c r="J496" s="5">
        <v>489</v>
      </c>
      <c r="N496">
        <f t="shared" si="724"/>
        <v>1.8411070585500797</v>
      </c>
      <c r="O496">
        <f t="shared" si="686"/>
        <v>4.2253993131957657E-5</v>
      </c>
    </row>
    <row r="497" spans="1:19" x14ac:dyDescent="0.2">
      <c r="A497" t="e">
        <f t="shared" si="690"/>
        <v>#NUM!</v>
      </c>
      <c r="B497" t="e">
        <f t="shared" si="691"/>
        <v>#NUM!</v>
      </c>
      <c r="C497" t="e">
        <f t="shared" si="692"/>
        <v>#NUM!</v>
      </c>
      <c r="D497" t="e">
        <f t="shared" si="693"/>
        <v>#NUM!</v>
      </c>
      <c r="E497" t="e">
        <f t="shared" si="694"/>
        <v>#NUM!</v>
      </c>
      <c r="F497" t="e">
        <f t="shared" si="695"/>
        <v>#NUM!</v>
      </c>
      <c r="G497" t="e">
        <f t="shared" si="696"/>
        <v>#NUM!</v>
      </c>
      <c r="H497" s="5" t="e">
        <f t="shared" si="697"/>
        <v>#NUM!</v>
      </c>
      <c r="I497" s="5" t="e">
        <f t="shared" si="698"/>
        <v>#NUM!</v>
      </c>
      <c r="J497" s="5">
        <v>490</v>
      </c>
      <c r="N497">
        <f t="shared" si="719"/>
        <v>1.8410870583500778</v>
      </c>
      <c r="O497">
        <f t="shared" si="686"/>
        <v>-4.2253822631010962E-5</v>
      </c>
    </row>
    <row r="498" spans="1:19" x14ac:dyDescent="0.2">
      <c r="A498" t="e">
        <f t="shared" si="690"/>
        <v>#NUM!</v>
      </c>
      <c r="B498" t="e">
        <f t="shared" si="691"/>
        <v>#NUM!</v>
      </c>
      <c r="C498" t="e">
        <f t="shared" si="692"/>
        <v>#NUM!</v>
      </c>
      <c r="D498" t="e">
        <f t="shared" si="693"/>
        <v>#NUM!</v>
      </c>
      <c r="E498" t="e">
        <f t="shared" si="694"/>
        <v>#NUM!</v>
      </c>
      <c r="F498" t="e">
        <f t="shared" si="695"/>
        <v>#NUM!</v>
      </c>
      <c r="G498" t="e">
        <f t="shared" si="696"/>
        <v>#NUM!</v>
      </c>
      <c r="H498" s="5" t="e">
        <f t="shared" si="697"/>
        <v>#NUM!</v>
      </c>
      <c r="I498" s="5" t="e">
        <f t="shared" si="698"/>
        <v>#NUM!</v>
      </c>
      <c r="J498" s="5">
        <v>491</v>
      </c>
      <c r="N498" s="10">
        <f t="shared" ref="N498" si="753">Q495</f>
        <v>1.8410970584500788</v>
      </c>
      <c r="O498">
        <f t="shared" si="686"/>
        <v>0</v>
      </c>
      <c r="P498">
        <f t="shared" ref="P498:P500" si="754">(O497-O499)/(N497-N499)</f>
        <v>4.225348534256625</v>
      </c>
      <c r="Q498" s="10">
        <f t="shared" ref="Q498" si="755">N498-O498/P498</f>
        <v>1.8410970584500788</v>
      </c>
      <c r="R498">
        <v>164</v>
      </c>
      <c r="S498">
        <f t="shared" ref="S498:S500" si="756">N498</f>
        <v>1.8410970584500788</v>
      </c>
    </row>
    <row r="499" spans="1:19" x14ac:dyDescent="0.2">
      <c r="A499" t="e">
        <f t="shared" si="690"/>
        <v>#NUM!</v>
      </c>
      <c r="B499" t="e">
        <f t="shared" si="691"/>
        <v>#NUM!</v>
      </c>
      <c r="C499" t="e">
        <f t="shared" si="692"/>
        <v>#NUM!</v>
      </c>
      <c r="D499" t="e">
        <f t="shared" si="693"/>
        <v>#NUM!</v>
      </c>
      <c r="E499" t="e">
        <f t="shared" si="694"/>
        <v>#NUM!</v>
      </c>
      <c r="F499" t="e">
        <f t="shared" si="695"/>
        <v>#NUM!</v>
      </c>
      <c r="G499" t="e">
        <f t="shared" si="696"/>
        <v>#NUM!</v>
      </c>
      <c r="H499" s="5" t="e">
        <f t="shared" si="697"/>
        <v>#NUM!</v>
      </c>
      <c r="I499" s="5" t="e">
        <f t="shared" si="698"/>
        <v>#NUM!</v>
      </c>
      <c r="J499" s="5">
        <v>492</v>
      </c>
      <c r="N499">
        <f t="shared" si="724"/>
        <v>1.8411070585500797</v>
      </c>
      <c r="O499">
        <f t="shared" si="686"/>
        <v>4.2253993131957657E-5</v>
      </c>
    </row>
    <row r="500" spans="1:19" x14ac:dyDescent="0.2">
      <c r="A500" t="e">
        <f t="shared" si="690"/>
        <v>#NUM!</v>
      </c>
      <c r="B500" t="e">
        <f t="shared" si="691"/>
        <v>#NUM!</v>
      </c>
      <c r="C500" t="e">
        <f t="shared" si="692"/>
        <v>#NUM!</v>
      </c>
      <c r="D500" t="e">
        <f t="shared" si="693"/>
        <v>#NUM!</v>
      </c>
      <c r="E500" t="e">
        <f t="shared" si="694"/>
        <v>#NUM!</v>
      </c>
      <c r="F500" t="e">
        <f t="shared" si="695"/>
        <v>#NUM!</v>
      </c>
      <c r="G500" t="e">
        <f t="shared" si="696"/>
        <v>#NUM!</v>
      </c>
      <c r="H500" s="5" t="e">
        <f t="shared" si="697"/>
        <v>#NUM!</v>
      </c>
      <c r="I500" s="5" t="e">
        <f t="shared" si="698"/>
        <v>#NUM!</v>
      </c>
      <c r="J500" s="5">
        <v>493</v>
      </c>
      <c r="N500">
        <f t="shared" si="719"/>
        <v>-1.000010000100001E-5</v>
      </c>
      <c r="O500" t="e">
        <f t="shared" si="686"/>
        <v>#NUM!</v>
      </c>
    </row>
  </sheetData>
  <mergeCells count="4">
    <mergeCell ref="E1:F1"/>
    <mergeCell ref="G1:I1"/>
    <mergeCell ref="A6:G6"/>
    <mergeCell ref="N6:Q6"/>
  </mergeCells>
  <conditionalFormatting sqref="M8:M508">
    <cfRule type="cellIs" dxfId="0" priority="1" operator="greaterThan">
      <formula>0.01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2021-03-10T19:58:30Z</dcterms:created>
  <dcterms:modified xsi:type="dcterms:W3CDTF">2021-03-16T23:11:18Z</dcterms:modified>
</cp:coreProperties>
</file>